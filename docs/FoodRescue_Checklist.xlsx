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ổng quan" sheetId="2" state="visible" r:id="rId2"/>
    <sheet xmlns:r="http://schemas.openxmlformats.org/officeDocument/2006/relationships" name="TV1" sheetId="3" state="visible" r:id="rId3"/>
    <sheet xmlns:r="http://schemas.openxmlformats.org/officeDocument/2006/relationships" name="TV2" sheetId="4" state="visible" r:id="rId4"/>
    <sheet xmlns:r="http://schemas.openxmlformats.org/officeDocument/2006/relationships" name="TV3" sheetId="5" state="visible" r:id="rId5"/>
    <sheet xmlns:r="http://schemas.openxmlformats.org/officeDocument/2006/relationships" name="TV4" sheetId="6" state="visible" r:id="rId6"/>
    <sheet xmlns:r="http://schemas.openxmlformats.org/officeDocument/2006/relationships" name="Cổng kiểm tra" sheetId="7" state="visible" r:id="rId7"/>
  </sheets>
  <definedNames>
    <definedName name="_xlnm._FilterDatabase" localSheetId="2" hidden="1">'TV1'!$A$5:$L$102</definedName>
    <definedName name="_xlnm._FilterDatabase" localSheetId="3" hidden="1">'TV2'!$A$5:$L$77</definedName>
    <definedName name="_xlnm._FilterDatabase" localSheetId="4" hidden="1">'TV3'!$A$5:$L$75</definedName>
    <definedName name="_xlnm._FilterDatabase" localSheetId="5" hidden="1">'TV4'!$A$5:$L$68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Arial"/>
      <b val="1"/>
      <color rgb="001E8E4E"/>
      <sz val="16"/>
    </font>
    <font>
      <name val="Arial"/>
      <i val="1"/>
      <color rgb="005B6770"/>
    </font>
    <font>
      <name val="Arial"/>
      <sz val="10"/>
    </font>
    <font>
      <name val="Arial"/>
      <b val="1"/>
      <sz val="12"/>
    </font>
    <font>
      <name val="Arial"/>
      <b val="1"/>
      <color rgb="001E8E4E"/>
      <sz val="14"/>
    </font>
    <font>
      <name val="Arial"/>
      <b val="1"/>
    </font>
    <font>
      <name val="Arial"/>
      <sz val="11"/>
    </font>
    <font>
      <name val="Arial"/>
      <b val="1"/>
      <color rgb="00FFFFFF"/>
    </font>
    <font>
      <name val="Arial"/>
      <b val="1"/>
      <sz val="10"/>
    </font>
    <font>
      <name val="Arial"/>
      <color rgb="009CA3AF"/>
      <sz val="9"/>
    </font>
    <font>
      <name val="Arial"/>
      <i val="1"/>
      <sz val="10"/>
    </font>
    <font>
      <name val="Arial"/>
      <b val="1"/>
      <color rgb="001E8E4E"/>
      <sz val="12"/>
    </font>
    <font>
      <name val="Arial"/>
      <i val="1"/>
      <color rgb="005B6770"/>
      <sz val="9"/>
    </font>
    <font>
      <name val="Arial"/>
      <b val="1"/>
      <color rgb="00D9731A"/>
      <sz val="14"/>
    </font>
    <font>
      <name val="Arial"/>
      <b val="1"/>
      <color rgb="00D9731A"/>
      <sz val="12"/>
    </font>
    <font>
      <name val="Arial"/>
      <b val="1"/>
      <color rgb="002C7BE5"/>
      <sz val="14"/>
    </font>
    <font>
      <name val="Arial"/>
      <b val="1"/>
      <color rgb="002C7BE5"/>
      <sz val="12"/>
    </font>
    <font>
      <name val="Arial"/>
      <b val="1"/>
      <color rgb="007B4BC4"/>
      <sz val="14"/>
    </font>
    <font>
      <name val="Arial"/>
      <b val="1"/>
      <color rgb="007B4BC4"/>
      <sz val="12"/>
    </font>
    <font>
      <name val="Arial"/>
      <b val="1"/>
      <sz val="14"/>
    </font>
    <font>
      <name val="Arial"/>
      <b val="1"/>
      <color rgb="00FF7A1A"/>
      <sz val="16"/>
    </font>
    <font>
      <name val="Arial"/>
      <b val="1"/>
      <color rgb="001E8E4E"/>
    </font>
    <font>
      <name val="Arial"/>
      <color rgb="00008000"/>
    </font>
    <font>
      <name val="Arial"/>
    </font>
    <font>
      <name val="Arial"/>
      <b val="1"/>
      <color rgb="00D9731A"/>
    </font>
    <font>
      <name val="Arial"/>
      <b val="1"/>
      <color rgb="002C7BE5"/>
    </font>
    <font>
      <name val="Arial"/>
      <b val="1"/>
      <color rgb="007B4BC4"/>
    </font>
    <font>
      <name val="Arial"/>
      <b val="1"/>
      <color rgb="00FF7A1A"/>
    </font>
  </fonts>
  <fills count="13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1E8E4E"/>
      </patternFill>
    </fill>
    <fill>
      <patternFill patternType="solid">
        <fgColor rgb="00E8F5EE"/>
      </patternFill>
    </fill>
    <fill>
      <patternFill patternType="solid">
        <fgColor rgb="00D9731A"/>
      </patternFill>
    </fill>
    <fill>
      <patternFill patternType="solid">
        <fgColor rgb="00FFF1E6"/>
      </patternFill>
    </fill>
    <fill>
      <patternFill patternType="solid">
        <fgColor rgb="002C7BE5"/>
      </patternFill>
    </fill>
    <fill>
      <patternFill patternType="solid">
        <fgColor rgb="00EAF2FD"/>
      </patternFill>
    </fill>
    <fill>
      <patternFill patternType="solid">
        <fgColor rgb="007B4BC4"/>
      </patternFill>
    </fill>
    <fill>
      <patternFill patternType="solid">
        <fgColor rgb="00F3EDFB"/>
      </patternFill>
    </fill>
    <fill>
      <patternFill patternType="solid">
        <fgColor rgb="001F1F1F"/>
      </patternFill>
    </fill>
    <fill>
      <patternFill patternType="solid">
        <fgColor rgb="00F2F4F5"/>
      </patternFill>
    </fill>
  </fills>
  <borders count="2">
    <border>
      <left/>
      <right/>
      <top/>
      <bottom/>
      <diagonal/>
    </border>
    <border>
      <left style="thin">
        <color rgb="00D5DDE2"/>
      </left>
      <right style="thin">
        <color rgb="00D5DDE2"/>
      </right>
      <top style="thin">
        <color rgb="00D5DDE2"/>
      </top>
      <bottom style="thin">
        <color rgb="00D5DDE2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1" fillId="0" borderId="0" pivotButton="0" quotePrefix="0" xfId="0"/>
    <xf numFmtId="0" fontId="13" fillId="0" borderId="0" pivotButton="0" quotePrefix="0" xfId="0"/>
    <xf numFmtId="0" fontId="8" fillId="11" borderId="1" applyAlignment="1" pivotButton="0" quotePrefix="0" xfId="0">
      <alignment horizontal="center"/>
    </xf>
    <xf numFmtId="0" fontId="22" fillId="0" borderId="1" pivotButton="0" quotePrefix="0" xfId="0"/>
    <xf numFmtId="0" fontId="23" fillId="0" borderId="1" pivotButton="0" quotePrefix="0" xfId="0"/>
    <xf numFmtId="0" fontId="24" fillId="0" borderId="1" pivotButton="0" quotePrefix="0" xfId="0"/>
    <xf numFmtId="9" fontId="6" fillId="0" borderId="1" pivotButton="0" quotePrefix="0" xfId="0"/>
    <xf numFmtId="0" fontId="25" fillId="0" borderId="1" pivotButton="0" quotePrefix="0" xfId="0"/>
    <xf numFmtId="0" fontId="26" fillId="0" borderId="1" pivotButton="0" quotePrefix="0" xfId="0"/>
    <xf numFmtId="0" fontId="27" fillId="0" borderId="1" pivotButton="0" quotePrefix="0" xfId="0"/>
    <xf numFmtId="0" fontId="6" fillId="12" borderId="1" pivotButton="0" quotePrefix="0" xfId="0"/>
    <xf numFmtId="0" fontId="0" fillId="12" borderId="1" pivotButton="0" quotePrefix="0" xfId="0"/>
    <xf numFmtId="9" fontId="28" fillId="12" borderId="1" pivotButton="0" quotePrefix="0" xfId="0"/>
    <xf numFmtId="0" fontId="4" fillId="0" borderId="0" pivotButton="0" quotePrefix="0" xfId="0"/>
    <xf numFmtId="0" fontId="24" fillId="0" borderId="1" applyAlignment="1" pivotButton="0" quotePrefix="0" xfId="0">
      <alignment horizontal="center"/>
    </xf>
    <xf numFmtId="9" fontId="6" fillId="0" borderId="1" applyAlignment="1" pivotButton="0" quotePrefix="0" xfId="0">
      <alignment horizontal="center"/>
    </xf>
    <xf numFmtId="0" fontId="8" fillId="11" borderId="1" pivotButton="0" quotePrefix="0" xfId="0"/>
    <xf numFmtId="0" fontId="6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0" fontId="6" fillId="0" borderId="0" applyAlignment="1" pivotButton="0" quotePrefix="0" xfId="0">
      <alignment horizontal="right"/>
    </xf>
    <xf numFmtId="9" fontId="12" fillId="0" borderId="0" pivotButton="0" quotePrefix="0" xfId="0"/>
    <xf numFmtId="0" fontId="3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vertical="top" wrapText="1"/>
    </xf>
    <xf numFmtId="0" fontId="0" fillId="4" borderId="1" pivotButton="0" quotePrefix="0" xfId="0"/>
    <xf numFmtId="0" fontId="10" fillId="4" borderId="1" pivotButton="0" quotePrefix="0" xfId="0"/>
    <xf numFmtId="0" fontId="1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/>
    </xf>
    <xf numFmtId="164" fontId="0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4" fillId="0" borderId="0" pivotButton="0" quotePrefix="0" xfId="0"/>
    <xf numFmtId="9" fontId="15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vertical="top" wrapText="1"/>
    </xf>
    <xf numFmtId="0" fontId="0" fillId="6" borderId="1" pivotButton="0" quotePrefix="0" xfId="0"/>
    <xf numFmtId="0" fontId="10" fillId="6" borderId="1" pivotButton="0" quotePrefix="0" xfId="0"/>
    <xf numFmtId="0" fontId="16" fillId="0" borderId="0" pivotButton="0" quotePrefix="0" xfId="0"/>
    <xf numFmtId="9" fontId="17" fillId="0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vertical="top" wrapText="1"/>
    </xf>
    <xf numFmtId="0" fontId="0" fillId="8" borderId="1" pivotButton="0" quotePrefix="0" xfId="0"/>
    <xf numFmtId="0" fontId="10" fillId="8" borderId="1" pivotButton="0" quotePrefix="0" xfId="0"/>
    <xf numFmtId="0" fontId="18" fillId="0" borderId="0" pivotButton="0" quotePrefix="0" xfId="0"/>
    <xf numFmtId="9" fontId="19" fillId="0" borderId="0" pivotButton="0" quotePrefix="0" xfId="0"/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vertical="top" wrapText="1"/>
    </xf>
    <xf numFmtId="0" fontId="0" fillId="10" borderId="1" pivotButton="0" quotePrefix="0" xfId="0"/>
    <xf numFmtId="0" fontId="10" fillId="10" borderId="1" pivotButton="0" quotePrefix="0" xfId="0"/>
    <xf numFmtId="0" fontId="20" fillId="0" borderId="0" pivotButton="0" quotePrefix="0" xfId="0"/>
    <xf numFmtId="0" fontId="8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b val="1"/>
        <color rgb="001E8E4E"/>
      </font>
      <fill>
        <patternFill patternType="solid">
          <fgColor rgb="00E3F4E8"/>
        </patternFill>
      </fill>
    </dxf>
    <dxf>
      <font>
        <name val="Arial"/>
        <strike val="1"/>
        <color rgb="006B7280"/>
      </font>
      <fill>
        <patternFill patternType="solid">
          <fgColor rgb="00E3F4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2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FoodRescue - Checklist công việc nhóm</t>
        </is>
      </c>
    </row>
    <row r="2">
      <c r="B2" s="2" t="inlineStr">
        <is>
          <t>Nguồn: docs/FoodRescue_KeHoachPhanCong.pdf (thẻ việc mục 4, cổng kiểm tra mục 3). Mỗi việc được tách thành từng bước để tick.</t>
        </is>
      </c>
    </row>
    <row r="3">
      <c r="B3" s="3" t="inlineStr"/>
    </row>
    <row r="4">
      <c r="B4" s="4" t="inlineStr">
        <is>
          <t>Cách dùng</t>
        </is>
      </c>
    </row>
    <row r="5">
      <c r="B5" s="3" t="inlineStr">
        <is>
          <t>1. Mỗi người mở sheet của mình (TV1 ... TV4), ghi tên vào ô màu vàng ở dòng 2.</t>
        </is>
      </c>
    </row>
    <row r="6">
      <c r="B6" s="3" t="inlineStr">
        <is>
          <t>2. Làm xong bước nào thì tick ô ở cột "Xong" (hoặc gõ TRUE), ghi ngày xong và link Pull Request.</t>
        </is>
      </c>
    </row>
    <row r="7">
      <c r="B7" s="3" t="inlineStr">
        <is>
          <t>3. Dòng tô màu đậm là tên việc (mã, tuần, kết quả bàn giao, giờ); các dòng bên dưới là bước cần tick.</t>
        </is>
      </c>
    </row>
    <row r="8">
      <c r="B8" s="3" t="inlineStr">
        <is>
          <t>4. Dòng "✔ Kiểm tra" ở cuối mỗi việc: chỉ tick khi đã kiểm tra đúng như mô tả (test case, câu kiểm tra SQL...).</t>
        </is>
      </c>
    </row>
    <row r="9">
      <c r="B9" s="3" t="inlineStr">
        <is>
          <t>5. Sheet "Tổng quan" tự tính % tiến độ từng người và từng tuần. Sheet "Cổng kiểm tra" để cả nhóm tick ở buổi họp cuối giai đoạn.</t>
        </is>
      </c>
    </row>
    <row r="10">
      <c r="B10" s="3" t="inlineStr">
        <is>
          <t>6. Chỉ sửa: ô vàng (tên), cột Xong, Ngày xong, Link PR, Ghi chú. Không sửa các cột khác và công thức.</t>
        </is>
      </c>
    </row>
    <row r="11">
      <c r="B11" s="3" t="inlineStr"/>
    </row>
    <row r="12">
      <c r="B12" s="4" t="inlineStr">
        <is>
          <t>Biến cột "Xong" thành ô tick (làm 1 lần)</t>
        </is>
      </c>
    </row>
    <row r="13">
      <c r="B13" s="3" t="inlineStr">
        <is>
          <t>• Google Sheets: chọn cột "Xong" (từ dòng bảng đầu tiên xuống cuối) → menu Chèn (Insert) → Hộp kiểm (Checkbox). Các ô FALSE thành ô trống, TRUE thành ô đã tick.</t>
        </is>
      </c>
    </row>
    <row r="14">
      <c r="B14" s="3" t="inlineStr">
        <is>
          <t>• Excel 365 (bản mới): chọn cột "Xong" → tab Insert → Checkbox. Bản Excel cũ không có nút này: gõ TRUE / FALSE vào ô, tiến độ vẫn tính đúng.</t>
        </is>
      </c>
    </row>
    <row r="15">
      <c r="B15" s="3" t="inlineStr">
        <is>
          <t>• Làm cho cả 4 sheet TV và sheet Cổng kiểm tra.</t>
        </is>
      </c>
    </row>
    <row r="16">
      <c r="B16" s="3" t="inlineStr"/>
    </row>
    <row r="17">
      <c r="B17" s="4" t="inlineStr">
        <is>
          <t>Chia sẻ cho nhóm</t>
        </is>
      </c>
    </row>
    <row r="18">
      <c r="B18" s="3" t="inlineStr">
        <is>
          <t>• Upload lên Google Drive → chuột phải → Mở bằng Google Trang tính → Chia sẻ cho 3 bạn quyền "Người chỉnh sửa". Cả nhóm cùng tick trên một file, không bị lệch bản.</t>
        </is>
      </c>
    </row>
    <row r="19">
      <c r="B19" s="3" t="inlineStr">
        <is>
          <t>• Bảng tính cùng dùng: nếu để trong repo Git thì mỗi lần tick phải commit, dễ xung đột; nên dùng Google Sheets để tick hằng ngày.</t>
        </is>
      </c>
    </row>
    <row r="20">
      <c r="B20" s="3" t="inlineStr"/>
    </row>
    <row r="21">
      <c r="B21" s="4" t="inlineStr">
        <is>
          <t>Màu</t>
        </is>
      </c>
    </row>
    <row r="22">
      <c r="B22" s="3" t="inlineStr">
        <is>
          <t>Dòng đã tick tự tô xanh nhạt và gạch ngang. TV1 xanh lá · TV2 cam · TV3 xanh dương · TV4 tím (theo kế hoạch).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7A1A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5" t="inlineStr">
        <is>
          <t>Tổng quan tiến độ</t>
        </is>
      </c>
    </row>
    <row r="2">
      <c r="A2" s="6" t="inlineStr">
        <is>
          <t>Tự tính từ cột "Xong" của các sheet TV1-TV4 và Cổng kiểm tra. Không sửa sheet này.</t>
        </is>
      </c>
    </row>
    <row r="4">
      <c r="A4" s="7" t="inlineStr">
        <is>
          <t>Thành viên</t>
        </is>
      </c>
      <c r="B4" s="7" t="inlineStr">
        <is>
          <t>Tên</t>
        </is>
      </c>
      <c r="C4" s="7" t="inlineStr">
        <is>
          <t>Bước xong</t>
        </is>
      </c>
      <c r="D4" s="7" t="inlineStr">
        <is>
          <t>Tổng bước</t>
        </is>
      </c>
      <c r="E4" s="7" t="inlineStr">
        <is>
          <t>Tiến độ</t>
        </is>
      </c>
    </row>
    <row r="5">
      <c r="A5" s="8" t="inlineStr">
        <is>
          <t>TV1 · Nền tảng, Tài khoản, Tiền</t>
        </is>
      </c>
      <c r="B5" s="9">
        <f>'TV1'!B2</f>
        <v/>
      </c>
      <c r="C5" s="10">
        <f>COUNTIF('TV1'!$H$6:$H$102,TRUE)</f>
        <v/>
      </c>
      <c r="D5" s="10">
        <f>COUNTIF('TV1'!$H$6:$H$102,TRUE)+COUNTIF('TV1'!$H$6:$H$102,FALSE)</f>
        <v/>
      </c>
      <c r="E5" s="11">
        <f>IFERROR(C5/D5,0)</f>
        <v/>
      </c>
    </row>
    <row r="6">
      <c r="A6" s="12" t="inlineStr">
        <is>
          <t>TV2 · Cửa hàng, Túi, Kho</t>
        </is>
      </c>
      <c r="B6" s="9">
        <f>'TV2'!B2</f>
        <v/>
      </c>
      <c r="C6" s="10">
        <f>COUNTIF('TV2'!$H$6:$H$77,TRUE)</f>
        <v/>
      </c>
      <c r="D6" s="10">
        <f>COUNTIF('TV2'!$H$6:$H$77,TRUE)+COUNTIF('TV2'!$H$6:$H$77,FALSE)</f>
        <v/>
      </c>
      <c r="E6" s="11">
        <f>IFERROR(C6/D6,0)</f>
        <v/>
      </c>
    </row>
    <row r="7">
      <c r="A7" s="13" t="inlineStr">
        <is>
          <t>TV3 · Khách hàng, Bản đồ, Giao diện chung</t>
        </is>
      </c>
      <c r="B7" s="9">
        <f>'TV3'!B2</f>
        <v/>
      </c>
      <c r="C7" s="10">
        <f>COUNTIF('TV3'!$H$6:$H$75,TRUE)</f>
        <v/>
      </c>
      <c r="D7" s="10">
        <f>COUNTIF('TV3'!$H$6:$H$75,TRUE)+COUNTIF('TV3'!$H$6:$H$75,FALSE)</f>
        <v/>
      </c>
      <c r="E7" s="11">
        <f>IFERROR(C7/D7,0)</f>
        <v/>
      </c>
    </row>
    <row r="8">
      <c r="A8" s="14" t="inlineStr">
        <is>
          <t>TV4 · Giỏ hàng, Đơn, Thanh toán, Giao hàng</t>
        </is>
      </c>
      <c r="B8" s="9">
        <f>'TV4'!B2</f>
        <v/>
      </c>
      <c r="C8" s="10">
        <f>COUNTIF('TV4'!$H$6:$H$68,TRUE)</f>
        <v/>
      </c>
      <c r="D8" s="10">
        <f>COUNTIF('TV4'!$H$6:$H$68,TRUE)+COUNTIF('TV4'!$H$6:$H$68,FALSE)</f>
        <v/>
      </c>
      <c r="E8" s="11">
        <f>IFERROR(C8/D8,0)</f>
        <v/>
      </c>
    </row>
    <row r="9">
      <c r="A9" s="15" t="inlineStr">
        <is>
          <t>Cả nhóm</t>
        </is>
      </c>
      <c r="B9" s="16" t="n"/>
      <c r="C9" s="15">
        <f>SUM(C5:C8)</f>
        <v/>
      </c>
      <c r="D9" s="15">
        <f>SUM(D5:D8)</f>
        <v/>
      </c>
      <c r="E9" s="17">
        <f>IFERROR(C9/D9,0)</f>
        <v/>
      </c>
    </row>
    <row r="11">
      <c r="A11" s="18" t="inlineStr">
        <is>
          <t>Tiến độ theo tuần (bước xong / tổng bước của tuần đó)</t>
        </is>
      </c>
    </row>
    <row r="12">
      <c r="A12" s="7" t="inlineStr">
        <is>
          <t>Tuần</t>
        </is>
      </c>
      <c r="B12" s="7" t="inlineStr">
        <is>
          <t>Giai đoạn</t>
        </is>
      </c>
      <c r="C12" s="7" t="inlineStr">
        <is>
          <t>TV1</t>
        </is>
      </c>
      <c r="D12" s="7" t="inlineStr">
        <is>
          <t>TV2</t>
        </is>
      </c>
      <c r="E12" s="7" t="inlineStr">
        <is>
          <t>TV3</t>
        </is>
      </c>
      <c r="G12" s="7" t="inlineStr">
        <is>
          <t>TV4</t>
        </is>
      </c>
      <c r="H12" s="7" t="inlineStr">
        <is>
          <t>Cả nhóm</t>
        </is>
      </c>
    </row>
    <row r="13">
      <c r="A13" s="19" t="n">
        <v>1</v>
      </c>
      <c r="B13" s="10" t="inlineStr">
        <is>
          <t>GĐ0-1</t>
        </is>
      </c>
      <c r="C13" s="19">
        <f>IF((COUNTIFS('TV1'!$L$6:$L$102,$A13,'TV1'!$H$6:$H$102,TRUE)+COUNTIFS('TV1'!$L$6:$L$102,$A13,'TV1'!$H$6:$H$102,FALSE))=0,"-",COUNTIFS('TV1'!$L$6:$L$102,$A13,'TV1'!$H$6:$H$102,TRUE)&amp;"/"&amp;(COUNTIFS('TV1'!$L$6:$L$102,$A13,'TV1'!$H$6:$H$102,TRUE)+COUNTIFS('TV1'!$L$6:$L$102,$A13,'TV1'!$H$6:$H$102,FALSE)))</f>
        <v/>
      </c>
      <c r="D13" s="19">
        <f>IF((COUNTIFS('TV2'!$L$6:$L$77,$A13,'TV2'!$H$6:$H$77,TRUE)+COUNTIFS('TV2'!$L$6:$L$77,$A13,'TV2'!$H$6:$H$77,FALSE))=0,"-",COUNTIFS('TV2'!$L$6:$L$77,$A13,'TV2'!$H$6:$H$77,TRUE)&amp;"/"&amp;(COUNTIFS('TV2'!$L$6:$L$77,$A13,'TV2'!$H$6:$H$77,TRUE)+COUNTIFS('TV2'!$L$6:$L$77,$A13,'TV2'!$H$6:$H$77,FALSE)))</f>
        <v/>
      </c>
      <c r="E13" s="19">
        <f>IF((COUNTIFS('TV3'!$L$6:$L$75,$A13,'TV3'!$H$6:$H$75,TRUE)+COUNTIFS('TV3'!$L$6:$L$75,$A13,'TV3'!$H$6:$H$75,FALSE))=0,"-",COUNTIFS('TV3'!$L$6:$L$75,$A13,'TV3'!$H$6:$H$75,TRUE)&amp;"/"&amp;(COUNTIFS('TV3'!$L$6:$L$75,$A13,'TV3'!$H$6:$H$75,TRUE)+COUNTIFS('TV3'!$L$6:$L$75,$A13,'TV3'!$H$6:$H$75,FALSE)))</f>
        <v/>
      </c>
      <c r="G13" s="19">
        <f>IF((COUNTIFS('TV4'!$L$6:$L$68,$A13,'TV4'!$H$6:$H$68,TRUE)+COUNTIFS('TV4'!$L$6:$L$68,$A13,'TV4'!$H$6:$H$68,FALSE))=0,"-",COUNTIFS('TV4'!$L$6:$L$68,$A13,'TV4'!$H$6:$H$68,TRUE)&amp;"/"&amp;(COUNTIFS('TV4'!$L$6:$L$68,$A13,'TV4'!$H$6:$H$68,TRUE)+COUNTIFS('TV4'!$L$6:$L$68,$A13,'TV4'!$H$6:$H$68,FALSE)))</f>
        <v/>
      </c>
      <c r="H13" s="20">
        <f>IFERROR((COUNTIFS('TV1'!$L$6:$L$102,$A13,'TV1'!$H$6:$H$102,TRUE)+COUNTIFS('TV2'!$L$6:$L$77,$A13,'TV2'!$H$6:$H$77,TRUE)+COUNTIFS('TV3'!$L$6:$L$75,$A13,'TV3'!$H$6:$H$75,TRUE)+COUNTIFS('TV4'!$L$6:$L$68,$A13,'TV4'!$H$6:$H$68,TRUE))/((COUNTIFS('TV1'!$L$6:$L$102,$A13,'TV1'!$H$6:$H$102,TRUE)+COUNTIFS('TV1'!$L$6:$L$102,$A13,'TV1'!$H$6:$H$102,FALSE))+(COUNTIFS('TV2'!$L$6:$L$77,$A13,'TV2'!$H$6:$H$77,TRUE)+COUNTIFS('TV2'!$L$6:$L$77,$A13,'TV2'!$H$6:$H$77,FALSE))+(COUNTIFS('TV3'!$L$6:$L$75,$A13,'TV3'!$H$6:$H$75,TRUE)+COUNTIFS('TV3'!$L$6:$L$75,$A13,'TV3'!$H$6:$H$75,FALSE))+(COUNTIFS('TV4'!$L$6:$L$68,$A13,'TV4'!$H$6:$H$68,TRUE)+COUNTIFS('TV4'!$L$6:$L$68,$A13,'TV4'!$H$6:$H$68,FALSE))),0)</f>
        <v/>
      </c>
    </row>
    <row r="14">
      <c r="A14" s="19" t="n">
        <v>2</v>
      </c>
      <c r="B14" s="10" t="inlineStr">
        <is>
          <t>GĐ2</t>
        </is>
      </c>
      <c r="C14" s="19">
        <f>IF((COUNTIFS('TV1'!$L$6:$L$102,$A14,'TV1'!$H$6:$H$102,TRUE)+COUNTIFS('TV1'!$L$6:$L$102,$A14,'TV1'!$H$6:$H$102,FALSE))=0,"-",COUNTIFS('TV1'!$L$6:$L$102,$A14,'TV1'!$H$6:$H$102,TRUE)&amp;"/"&amp;(COUNTIFS('TV1'!$L$6:$L$102,$A14,'TV1'!$H$6:$H$102,TRUE)+COUNTIFS('TV1'!$L$6:$L$102,$A14,'TV1'!$H$6:$H$102,FALSE)))</f>
        <v/>
      </c>
      <c r="D14" s="19">
        <f>IF((COUNTIFS('TV2'!$L$6:$L$77,$A14,'TV2'!$H$6:$H$77,TRUE)+COUNTIFS('TV2'!$L$6:$L$77,$A14,'TV2'!$H$6:$H$77,FALSE))=0,"-",COUNTIFS('TV2'!$L$6:$L$77,$A14,'TV2'!$H$6:$H$77,TRUE)&amp;"/"&amp;(COUNTIFS('TV2'!$L$6:$L$77,$A14,'TV2'!$H$6:$H$77,TRUE)+COUNTIFS('TV2'!$L$6:$L$77,$A14,'TV2'!$H$6:$H$77,FALSE)))</f>
        <v/>
      </c>
      <c r="E14" s="19">
        <f>IF((COUNTIFS('TV3'!$L$6:$L$75,$A14,'TV3'!$H$6:$H$75,TRUE)+COUNTIFS('TV3'!$L$6:$L$75,$A14,'TV3'!$H$6:$H$75,FALSE))=0,"-",COUNTIFS('TV3'!$L$6:$L$75,$A14,'TV3'!$H$6:$H$75,TRUE)&amp;"/"&amp;(COUNTIFS('TV3'!$L$6:$L$75,$A14,'TV3'!$H$6:$H$75,TRUE)+COUNTIFS('TV3'!$L$6:$L$75,$A14,'TV3'!$H$6:$H$75,FALSE)))</f>
        <v/>
      </c>
      <c r="G14" s="19">
        <f>IF((COUNTIFS('TV4'!$L$6:$L$68,$A14,'TV4'!$H$6:$H$68,TRUE)+COUNTIFS('TV4'!$L$6:$L$68,$A14,'TV4'!$H$6:$H$68,FALSE))=0,"-",COUNTIFS('TV4'!$L$6:$L$68,$A14,'TV4'!$H$6:$H$68,TRUE)&amp;"/"&amp;(COUNTIFS('TV4'!$L$6:$L$68,$A14,'TV4'!$H$6:$H$68,TRUE)+COUNTIFS('TV4'!$L$6:$L$68,$A14,'TV4'!$H$6:$H$68,FALSE)))</f>
        <v/>
      </c>
      <c r="H14" s="20">
        <f>IFERROR((COUNTIFS('TV1'!$L$6:$L$102,$A14,'TV1'!$H$6:$H$102,TRUE)+COUNTIFS('TV2'!$L$6:$L$77,$A14,'TV2'!$H$6:$H$77,TRUE)+COUNTIFS('TV3'!$L$6:$L$75,$A14,'TV3'!$H$6:$H$75,TRUE)+COUNTIFS('TV4'!$L$6:$L$68,$A14,'TV4'!$H$6:$H$68,TRUE))/((COUNTIFS('TV1'!$L$6:$L$102,$A14,'TV1'!$H$6:$H$102,TRUE)+COUNTIFS('TV1'!$L$6:$L$102,$A14,'TV1'!$H$6:$H$102,FALSE))+(COUNTIFS('TV2'!$L$6:$L$77,$A14,'TV2'!$H$6:$H$77,TRUE)+COUNTIFS('TV2'!$L$6:$L$77,$A14,'TV2'!$H$6:$H$77,FALSE))+(COUNTIFS('TV3'!$L$6:$L$75,$A14,'TV3'!$H$6:$H$75,TRUE)+COUNTIFS('TV3'!$L$6:$L$75,$A14,'TV3'!$H$6:$H$75,FALSE))+(COUNTIFS('TV4'!$L$6:$L$68,$A14,'TV4'!$H$6:$H$68,TRUE)+COUNTIFS('TV4'!$L$6:$L$68,$A14,'TV4'!$H$6:$H$68,FALSE))),0)</f>
        <v/>
      </c>
    </row>
    <row r="15">
      <c r="A15" s="19" t="n">
        <v>3</v>
      </c>
      <c r="B15" s="10" t="inlineStr">
        <is>
          <t>GĐ2</t>
        </is>
      </c>
      <c r="C15" s="19">
        <f>IF((COUNTIFS('TV1'!$L$6:$L$102,$A15,'TV1'!$H$6:$H$102,TRUE)+COUNTIFS('TV1'!$L$6:$L$102,$A15,'TV1'!$H$6:$H$102,FALSE))=0,"-",COUNTIFS('TV1'!$L$6:$L$102,$A15,'TV1'!$H$6:$H$102,TRUE)&amp;"/"&amp;(COUNTIFS('TV1'!$L$6:$L$102,$A15,'TV1'!$H$6:$H$102,TRUE)+COUNTIFS('TV1'!$L$6:$L$102,$A15,'TV1'!$H$6:$H$102,FALSE)))</f>
        <v/>
      </c>
      <c r="D15" s="19">
        <f>IF((COUNTIFS('TV2'!$L$6:$L$77,$A15,'TV2'!$H$6:$H$77,TRUE)+COUNTIFS('TV2'!$L$6:$L$77,$A15,'TV2'!$H$6:$H$77,FALSE))=0,"-",COUNTIFS('TV2'!$L$6:$L$77,$A15,'TV2'!$H$6:$H$77,TRUE)&amp;"/"&amp;(COUNTIFS('TV2'!$L$6:$L$77,$A15,'TV2'!$H$6:$H$77,TRUE)+COUNTIFS('TV2'!$L$6:$L$77,$A15,'TV2'!$H$6:$H$77,FALSE)))</f>
        <v/>
      </c>
      <c r="E15" s="19">
        <f>IF((COUNTIFS('TV3'!$L$6:$L$75,$A15,'TV3'!$H$6:$H$75,TRUE)+COUNTIFS('TV3'!$L$6:$L$75,$A15,'TV3'!$H$6:$H$75,FALSE))=0,"-",COUNTIFS('TV3'!$L$6:$L$75,$A15,'TV3'!$H$6:$H$75,TRUE)&amp;"/"&amp;(COUNTIFS('TV3'!$L$6:$L$75,$A15,'TV3'!$H$6:$H$75,TRUE)+COUNTIFS('TV3'!$L$6:$L$75,$A15,'TV3'!$H$6:$H$75,FALSE)))</f>
        <v/>
      </c>
      <c r="G15" s="19">
        <f>IF((COUNTIFS('TV4'!$L$6:$L$68,$A15,'TV4'!$H$6:$H$68,TRUE)+COUNTIFS('TV4'!$L$6:$L$68,$A15,'TV4'!$H$6:$H$68,FALSE))=0,"-",COUNTIFS('TV4'!$L$6:$L$68,$A15,'TV4'!$H$6:$H$68,TRUE)&amp;"/"&amp;(COUNTIFS('TV4'!$L$6:$L$68,$A15,'TV4'!$H$6:$H$68,TRUE)+COUNTIFS('TV4'!$L$6:$L$68,$A15,'TV4'!$H$6:$H$68,FALSE)))</f>
        <v/>
      </c>
      <c r="H15" s="20">
        <f>IFERROR((COUNTIFS('TV1'!$L$6:$L$102,$A15,'TV1'!$H$6:$H$102,TRUE)+COUNTIFS('TV2'!$L$6:$L$77,$A15,'TV2'!$H$6:$H$77,TRUE)+COUNTIFS('TV3'!$L$6:$L$75,$A15,'TV3'!$H$6:$H$75,TRUE)+COUNTIFS('TV4'!$L$6:$L$68,$A15,'TV4'!$H$6:$H$68,TRUE))/((COUNTIFS('TV1'!$L$6:$L$102,$A15,'TV1'!$H$6:$H$102,TRUE)+COUNTIFS('TV1'!$L$6:$L$102,$A15,'TV1'!$H$6:$H$102,FALSE))+(COUNTIFS('TV2'!$L$6:$L$77,$A15,'TV2'!$H$6:$H$77,TRUE)+COUNTIFS('TV2'!$L$6:$L$77,$A15,'TV2'!$H$6:$H$77,FALSE))+(COUNTIFS('TV3'!$L$6:$L$75,$A15,'TV3'!$H$6:$H$75,TRUE)+COUNTIFS('TV3'!$L$6:$L$75,$A15,'TV3'!$H$6:$H$75,FALSE))+(COUNTIFS('TV4'!$L$6:$L$68,$A15,'TV4'!$H$6:$H$68,TRUE)+COUNTIFS('TV4'!$L$6:$L$68,$A15,'TV4'!$H$6:$H$68,FALSE))),0)</f>
        <v/>
      </c>
    </row>
    <row r="16">
      <c r="A16" s="19" t="n">
        <v>4</v>
      </c>
      <c r="B16" s="10" t="inlineStr">
        <is>
          <t>GĐ3</t>
        </is>
      </c>
      <c r="C16" s="19">
        <f>IF((COUNTIFS('TV1'!$L$6:$L$102,$A16,'TV1'!$H$6:$H$102,TRUE)+COUNTIFS('TV1'!$L$6:$L$102,$A16,'TV1'!$H$6:$H$102,FALSE))=0,"-",COUNTIFS('TV1'!$L$6:$L$102,$A16,'TV1'!$H$6:$H$102,TRUE)&amp;"/"&amp;(COUNTIFS('TV1'!$L$6:$L$102,$A16,'TV1'!$H$6:$H$102,TRUE)+COUNTIFS('TV1'!$L$6:$L$102,$A16,'TV1'!$H$6:$H$102,FALSE)))</f>
        <v/>
      </c>
      <c r="D16" s="19">
        <f>IF((COUNTIFS('TV2'!$L$6:$L$77,$A16,'TV2'!$H$6:$H$77,TRUE)+COUNTIFS('TV2'!$L$6:$L$77,$A16,'TV2'!$H$6:$H$77,FALSE))=0,"-",COUNTIFS('TV2'!$L$6:$L$77,$A16,'TV2'!$H$6:$H$77,TRUE)&amp;"/"&amp;(COUNTIFS('TV2'!$L$6:$L$77,$A16,'TV2'!$H$6:$H$77,TRUE)+COUNTIFS('TV2'!$L$6:$L$77,$A16,'TV2'!$H$6:$H$77,FALSE)))</f>
        <v/>
      </c>
      <c r="E16" s="19">
        <f>IF((COUNTIFS('TV3'!$L$6:$L$75,$A16,'TV3'!$H$6:$H$75,TRUE)+COUNTIFS('TV3'!$L$6:$L$75,$A16,'TV3'!$H$6:$H$75,FALSE))=0,"-",COUNTIFS('TV3'!$L$6:$L$75,$A16,'TV3'!$H$6:$H$75,TRUE)&amp;"/"&amp;(COUNTIFS('TV3'!$L$6:$L$75,$A16,'TV3'!$H$6:$H$75,TRUE)+COUNTIFS('TV3'!$L$6:$L$75,$A16,'TV3'!$H$6:$H$75,FALSE)))</f>
        <v/>
      </c>
      <c r="G16" s="19">
        <f>IF((COUNTIFS('TV4'!$L$6:$L$68,$A16,'TV4'!$H$6:$H$68,TRUE)+COUNTIFS('TV4'!$L$6:$L$68,$A16,'TV4'!$H$6:$H$68,FALSE))=0,"-",COUNTIFS('TV4'!$L$6:$L$68,$A16,'TV4'!$H$6:$H$68,TRUE)&amp;"/"&amp;(COUNTIFS('TV4'!$L$6:$L$68,$A16,'TV4'!$H$6:$H$68,TRUE)+COUNTIFS('TV4'!$L$6:$L$68,$A16,'TV4'!$H$6:$H$68,FALSE)))</f>
        <v/>
      </c>
      <c r="H16" s="20">
        <f>IFERROR((COUNTIFS('TV1'!$L$6:$L$102,$A16,'TV1'!$H$6:$H$102,TRUE)+COUNTIFS('TV2'!$L$6:$L$77,$A16,'TV2'!$H$6:$H$77,TRUE)+COUNTIFS('TV3'!$L$6:$L$75,$A16,'TV3'!$H$6:$H$75,TRUE)+COUNTIFS('TV4'!$L$6:$L$68,$A16,'TV4'!$H$6:$H$68,TRUE))/((COUNTIFS('TV1'!$L$6:$L$102,$A16,'TV1'!$H$6:$H$102,TRUE)+COUNTIFS('TV1'!$L$6:$L$102,$A16,'TV1'!$H$6:$H$102,FALSE))+(COUNTIFS('TV2'!$L$6:$L$77,$A16,'TV2'!$H$6:$H$77,TRUE)+COUNTIFS('TV2'!$L$6:$L$77,$A16,'TV2'!$H$6:$H$77,FALSE))+(COUNTIFS('TV3'!$L$6:$L$75,$A16,'TV3'!$H$6:$H$75,TRUE)+COUNTIFS('TV3'!$L$6:$L$75,$A16,'TV3'!$H$6:$H$75,FALSE))+(COUNTIFS('TV4'!$L$6:$L$68,$A16,'TV4'!$H$6:$H$68,TRUE)+COUNTIFS('TV4'!$L$6:$L$68,$A16,'TV4'!$H$6:$H$68,FALSE))),0)</f>
        <v/>
      </c>
    </row>
    <row r="17">
      <c r="A17" s="19" t="n">
        <v>5</v>
      </c>
      <c r="B17" s="10" t="inlineStr">
        <is>
          <t>GĐ3</t>
        </is>
      </c>
      <c r="C17" s="19">
        <f>IF((COUNTIFS('TV1'!$L$6:$L$102,$A17,'TV1'!$H$6:$H$102,TRUE)+COUNTIFS('TV1'!$L$6:$L$102,$A17,'TV1'!$H$6:$H$102,FALSE))=0,"-",COUNTIFS('TV1'!$L$6:$L$102,$A17,'TV1'!$H$6:$H$102,TRUE)&amp;"/"&amp;(COUNTIFS('TV1'!$L$6:$L$102,$A17,'TV1'!$H$6:$H$102,TRUE)+COUNTIFS('TV1'!$L$6:$L$102,$A17,'TV1'!$H$6:$H$102,FALSE)))</f>
        <v/>
      </c>
      <c r="D17" s="19">
        <f>IF((COUNTIFS('TV2'!$L$6:$L$77,$A17,'TV2'!$H$6:$H$77,TRUE)+COUNTIFS('TV2'!$L$6:$L$77,$A17,'TV2'!$H$6:$H$77,FALSE))=0,"-",COUNTIFS('TV2'!$L$6:$L$77,$A17,'TV2'!$H$6:$H$77,TRUE)&amp;"/"&amp;(COUNTIFS('TV2'!$L$6:$L$77,$A17,'TV2'!$H$6:$H$77,TRUE)+COUNTIFS('TV2'!$L$6:$L$77,$A17,'TV2'!$H$6:$H$77,FALSE)))</f>
        <v/>
      </c>
      <c r="E17" s="19">
        <f>IF((COUNTIFS('TV3'!$L$6:$L$75,$A17,'TV3'!$H$6:$H$75,TRUE)+COUNTIFS('TV3'!$L$6:$L$75,$A17,'TV3'!$H$6:$H$75,FALSE))=0,"-",COUNTIFS('TV3'!$L$6:$L$75,$A17,'TV3'!$H$6:$H$75,TRUE)&amp;"/"&amp;(COUNTIFS('TV3'!$L$6:$L$75,$A17,'TV3'!$H$6:$H$75,TRUE)+COUNTIFS('TV3'!$L$6:$L$75,$A17,'TV3'!$H$6:$H$75,FALSE)))</f>
        <v/>
      </c>
      <c r="G17" s="19">
        <f>IF((COUNTIFS('TV4'!$L$6:$L$68,$A17,'TV4'!$H$6:$H$68,TRUE)+COUNTIFS('TV4'!$L$6:$L$68,$A17,'TV4'!$H$6:$H$68,FALSE))=0,"-",COUNTIFS('TV4'!$L$6:$L$68,$A17,'TV4'!$H$6:$H$68,TRUE)&amp;"/"&amp;(COUNTIFS('TV4'!$L$6:$L$68,$A17,'TV4'!$H$6:$H$68,TRUE)+COUNTIFS('TV4'!$L$6:$L$68,$A17,'TV4'!$H$6:$H$68,FALSE)))</f>
        <v/>
      </c>
      <c r="H17" s="20">
        <f>IFERROR((COUNTIFS('TV1'!$L$6:$L$102,$A17,'TV1'!$H$6:$H$102,TRUE)+COUNTIFS('TV2'!$L$6:$L$77,$A17,'TV2'!$H$6:$H$77,TRUE)+COUNTIFS('TV3'!$L$6:$L$75,$A17,'TV3'!$H$6:$H$75,TRUE)+COUNTIFS('TV4'!$L$6:$L$68,$A17,'TV4'!$H$6:$H$68,TRUE))/((COUNTIFS('TV1'!$L$6:$L$102,$A17,'TV1'!$H$6:$H$102,TRUE)+COUNTIFS('TV1'!$L$6:$L$102,$A17,'TV1'!$H$6:$H$102,FALSE))+(COUNTIFS('TV2'!$L$6:$L$77,$A17,'TV2'!$H$6:$H$77,TRUE)+COUNTIFS('TV2'!$L$6:$L$77,$A17,'TV2'!$H$6:$H$77,FALSE))+(COUNTIFS('TV3'!$L$6:$L$75,$A17,'TV3'!$H$6:$H$75,TRUE)+COUNTIFS('TV3'!$L$6:$L$75,$A17,'TV3'!$H$6:$H$75,FALSE))+(COUNTIFS('TV4'!$L$6:$L$68,$A17,'TV4'!$H$6:$H$68,TRUE)+COUNTIFS('TV4'!$L$6:$L$68,$A17,'TV4'!$H$6:$H$68,FALSE))),0)</f>
        <v/>
      </c>
    </row>
    <row r="18">
      <c r="A18" s="19" t="n">
        <v>6</v>
      </c>
      <c r="B18" s="10" t="inlineStr">
        <is>
          <t>GĐ4</t>
        </is>
      </c>
      <c r="C18" s="19">
        <f>IF((COUNTIFS('TV1'!$L$6:$L$102,$A18,'TV1'!$H$6:$H$102,TRUE)+COUNTIFS('TV1'!$L$6:$L$102,$A18,'TV1'!$H$6:$H$102,FALSE))=0,"-",COUNTIFS('TV1'!$L$6:$L$102,$A18,'TV1'!$H$6:$H$102,TRUE)&amp;"/"&amp;(COUNTIFS('TV1'!$L$6:$L$102,$A18,'TV1'!$H$6:$H$102,TRUE)+COUNTIFS('TV1'!$L$6:$L$102,$A18,'TV1'!$H$6:$H$102,FALSE)))</f>
        <v/>
      </c>
      <c r="D18" s="19">
        <f>IF((COUNTIFS('TV2'!$L$6:$L$77,$A18,'TV2'!$H$6:$H$77,TRUE)+COUNTIFS('TV2'!$L$6:$L$77,$A18,'TV2'!$H$6:$H$77,FALSE))=0,"-",COUNTIFS('TV2'!$L$6:$L$77,$A18,'TV2'!$H$6:$H$77,TRUE)&amp;"/"&amp;(COUNTIFS('TV2'!$L$6:$L$77,$A18,'TV2'!$H$6:$H$77,TRUE)+COUNTIFS('TV2'!$L$6:$L$77,$A18,'TV2'!$H$6:$H$77,FALSE)))</f>
        <v/>
      </c>
      <c r="E18" s="19">
        <f>IF((COUNTIFS('TV3'!$L$6:$L$75,$A18,'TV3'!$H$6:$H$75,TRUE)+COUNTIFS('TV3'!$L$6:$L$75,$A18,'TV3'!$H$6:$H$75,FALSE))=0,"-",COUNTIFS('TV3'!$L$6:$L$75,$A18,'TV3'!$H$6:$H$75,TRUE)&amp;"/"&amp;(COUNTIFS('TV3'!$L$6:$L$75,$A18,'TV3'!$H$6:$H$75,TRUE)+COUNTIFS('TV3'!$L$6:$L$75,$A18,'TV3'!$H$6:$H$75,FALSE)))</f>
        <v/>
      </c>
      <c r="G18" s="19">
        <f>IF((COUNTIFS('TV4'!$L$6:$L$68,$A18,'TV4'!$H$6:$H$68,TRUE)+COUNTIFS('TV4'!$L$6:$L$68,$A18,'TV4'!$H$6:$H$68,FALSE))=0,"-",COUNTIFS('TV4'!$L$6:$L$68,$A18,'TV4'!$H$6:$H$68,TRUE)&amp;"/"&amp;(COUNTIFS('TV4'!$L$6:$L$68,$A18,'TV4'!$H$6:$H$68,TRUE)+COUNTIFS('TV4'!$L$6:$L$68,$A18,'TV4'!$H$6:$H$68,FALSE)))</f>
        <v/>
      </c>
      <c r="H18" s="20">
        <f>IFERROR((COUNTIFS('TV1'!$L$6:$L$102,$A18,'TV1'!$H$6:$H$102,TRUE)+COUNTIFS('TV2'!$L$6:$L$77,$A18,'TV2'!$H$6:$H$77,TRUE)+COUNTIFS('TV3'!$L$6:$L$75,$A18,'TV3'!$H$6:$H$75,TRUE)+COUNTIFS('TV4'!$L$6:$L$68,$A18,'TV4'!$H$6:$H$68,TRUE))/((COUNTIFS('TV1'!$L$6:$L$102,$A18,'TV1'!$H$6:$H$102,TRUE)+COUNTIFS('TV1'!$L$6:$L$102,$A18,'TV1'!$H$6:$H$102,FALSE))+(COUNTIFS('TV2'!$L$6:$L$77,$A18,'TV2'!$H$6:$H$77,TRUE)+COUNTIFS('TV2'!$L$6:$L$77,$A18,'TV2'!$H$6:$H$77,FALSE))+(COUNTIFS('TV3'!$L$6:$L$75,$A18,'TV3'!$H$6:$H$75,TRUE)+COUNTIFS('TV3'!$L$6:$L$75,$A18,'TV3'!$H$6:$H$75,FALSE))+(COUNTIFS('TV4'!$L$6:$L$68,$A18,'TV4'!$H$6:$H$68,TRUE)+COUNTIFS('TV4'!$L$6:$L$68,$A18,'TV4'!$H$6:$H$68,FALSE))),0)</f>
        <v/>
      </c>
    </row>
    <row r="19">
      <c r="A19" s="19" t="n">
        <v>7</v>
      </c>
      <c r="B19" s="10" t="inlineStr">
        <is>
          <t>GĐ4</t>
        </is>
      </c>
      <c r="C19" s="19">
        <f>IF((COUNTIFS('TV1'!$L$6:$L$102,$A19,'TV1'!$H$6:$H$102,TRUE)+COUNTIFS('TV1'!$L$6:$L$102,$A19,'TV1'!$H$6:$H$102,FALSE))=0,"-",COUNTIFS('TV1'!$L$6:$L$102,$A19,'TV1'!$H$6:$H$102,TRUE)&amp;"/"&amp;(COUNTIFS('TV1'!$L$6:$L$102,$A19,'TV1'!$H$6:$H$102,TRUE)+COUNTIFS('TV1'!$L$6:$L$102,$A19,'TV1'!$H$6:$H$102,FALSE)))</f>
        <v/>
      </c>
      <c r="D19" s="19">
        <f>IF((COUNTIFS('TV2'!$L$6:$L$77,$A19,'TV2'!$H$6:$H$77,TRUE)+COUNTIFS('TV2'!$L$6:$L$77,$A19,'TV2'!$H$6:$H$77,FALSE))=0,"-",COUNTIFS('TV2'!$L$6:$L$77,$A19,'TV2'!$H$6:$H$77,TRUE)&amp;"/"&amp;(COUNTIFS('TV2'!$L$6:$L$77,$A19,'TV2'!$H$6:$H$77,TRUE)+COUNTIFS('TV2'!$L$6:$L$77,$A19,'TV2'!$H$6:$H$77,FALSE)))</f>
        <v/>
      </c>
      <c r="E19" s="19">
        <f>IF((COUNTIFS('TV3'!$L$6:$L$75,$A19,'TV3'!$H$6:$H$75,TRUE)+COUNTIFS('TV3'!$L$6:$L$75,$A19,'TV3'!$H$6:$H$75,FALSE))=0,"-",COUNTIFS('TV3'!$L$6:$L$75,$A19,'TV3'!$H$6:$H$75,TRUE)&amp;"/"&amp;(COUNTIFS('TV3'!$L$6:$L$75,$A19,'TV3'!$H$6:$H$75,TRUE)+COUNTIFS('TV3'!$L$6:$L$75,$A19,'TV3'!$H$6:$H$75,FALSE)))</f>
        <v/>
      </c>
      <c r="G19" s="19">
        <f>IF((COUNTIFS('TV4'!$L$6:$L$68,$A19,'TV4'!$H$6:$H$68,TRUE)+COUNTIFS('TV4'!$L$6:$L$68,$A19,'TV4'!$H$6:$H$68,FALSE))=0,"-",COUNTIFS('TV4'!$L$6:$L$68,$A19,'TV4'!$H$6:$H$68,TRUE)&amp;"/"&amp;(COUNTIFS('TV4'!$L$6:$L$68,$A19,'TV4'!$H$6:$H$68,TRUE)+COUNTIFS('TV4'!$L$6:$L$68,$A19,'TV4'!$H$6:$H$68,FALSE)))</f>
        <v/>
      </c>
      <c r="H19" s="20">
        <f>IFERROR((COUNTIFS('TV1'!$L$6:$L$102,$A19,'TV1'!$H$6:$H$102,TRUE)+COUNTIFS('TV2'!$L$6:$L$77,$A19,'TV2'!$H$6:$H$77,TRUE)+COUNTIFS('TV3'!$L$6:$L$75,$A19,'TV3'!$H$6:$H$75,TRUE)+COUNTIFS('TV4'!$L$6:$L$68,$A19,'TV4'!$H$6:$H$68,TRUE))/((COUNTIFS('TV1'!$L$6:$L$102,$A19,'TV1'!$H$6:$H$102,TRUE)+COUNTIFS('TV1'!$L$6:$L$102,$A19,'TV1'!$H$6:$H$102,FALSE))+(COUNTIFS('TV2'!$L$6:$L$77,$A19,'TV2'!$H$6:$H$77,TRUE)+COUNTIFS('TV2'!$L$6:$L$77,$A19,'TV2'!$H$6:$H$77,FALSE))+(COUNTIFS('TV3'!$L$6:$L$75,$A19,'TV3'!$H$6:$H$75,TRUE)+COUNTIFS('TV3'!$L$6:$L$75,$A19,'TV3'!$H$6:$H$75,FALSE))+(COUNTIFS('TV4'!$L$6:$L$68,$A19,'TV4'!$H$6:$H$68,TRUE)+COUNTIFS('TV4'!$L$6:$L$68,$A19,'TV4'!$H$6:$H$68,FALSE))),0)</f>
        <v/>
      </c>
    </row>
    <row r="20">
      <c r="A20" s="19" t="n">
        <v>8</v>
      </c>
      <c r="B20" s="10" t="inlineStr">
        <is>
          <t>GĐ5</t>
        </is>
      </c>
      <c r="C20" s="19">
        <f>IF((COUNTIFS('TV1'!$L$6:$L$102,$A20,'TV1'!$H$6:$H$102,TRUE)+COUNTIFS('TV1'!$L$6:$L$102,$A20,'TV1'!$H$6:$H$102,FALSE))=0,"-",COUNTIFS('TV1'!$L$6:$L$102,$A20,'TV1'!$H$6:$H$102,TRUE)&amp;"/"&amp;(COUNTIFS('TV1'!$L$6:$L$102,$A20,'TV1'!$H$6:$H$102,TRUE)+COUNTIFS('TV1'!$L$6:$L$102,$A20,'TV1'!$H$6:$H$102,FALSE)))</f>
        <v/>
      </c>
      <c r="D20" s="19">
        <f>IF((COUNTIFS('TV2'!$L$6:$L$77,$A20,'TV2'!$H$6:$H$77,TRUE)+COUNTIFS('TV2'!$L$6:$L$77,$A20,'TV2'!$H$6:$H$77,FALSE))=0,"-",COUNTIFS('TV2'!$L$6:$L$77,$A20,'TV2'!$H$6:$H$77,TRUE)&amp;"/"&amp;(COUNTIFS('TV2'!$L$6:$L$77,$A20,'TV2'!$H$6:$H$77,TRUE)+COUNTIFS('TV2'!$L$6:$L$77,$A20,'TV2'!$H$6:$H$77,FALSE)))</f>
        <v/>
      </c>
      <c r="E20" s="19">
        <f>IF((COUNTIFS('TV3'!$L$6:$L$75,$A20,'TV3'!$H$6:$H$75,TRUE)+COUNTIFS('TV3'!$L$6:$L$75,$A20,'TV3'!$H$6:$H$75,FALSE))=0,"-",COUNTIFS('TV3'!$L$6:$L$75,$A20,'TV3'!$H$6:$H$75,TRUE)&amp;"/"&amp;(COUNTIFS('TV3'!$L$6:$L$75,$A20,'TV3'!$H$6:$H$75,TRUE)+COUNTIFS('TV3'!$L$6:$L$75,$A20,'TV3'!$H$6:$H$75,FALSE)))</f>
        <v/>
      </c>
      <c r="G20" s="19">
        <f>IF((COUNTIFS('TV4'!$L$6:$L$68,$A20,'TV4'!$H$6:$H$68,TRUE)+COUNTIFS('TV4'!$L$6:$L$68,$A20,'TV4'!$H$6:$H$68,FALSE))=0,"-",COUNTIFS('TV4'!$L$6:$L$68,$A20,'TV4'!$H$6:$H$68,TRUE)&amp;"/"&amp;(COUNTIFS('TV4'!$L$6:$L$68,$A20,'TV4'!$H$6:$H$68,TRUE)+COUNTIFS('TV4'!$L$6:$L$68,$A20,'TV4'!$H$6:$H$68,FALSE)))</f>
        <v/>
      </c>
      <c r="H20" s="20">
        <f>IFERROR((COUNTIFS('TV1'!$L$6:$L$102,$A20,'TV1'!$H$6:$H$102,TRUE)+COUNTIFS('TV2'!$L$6:$L$77,$A20,'TV2'!$H$6:$H$77,TRUE)+COUNTIFS('TV3'!$L$6:$L$75,$A20,'TV3'!$H$6:$H$75,TRUE)+COUNTIFS('TV4'!$L$6:$L$68,$A20,'TV4'!$H$6:$H$68,TRUE))/((COUNTIFS('TV1'!$L$6:$L$102,$A20,'TV1'!$H$6:$H$102,TRUE)+COUNTIFS('TV1'!$L$6:$L$102,$A20,'TV1'!$H$6:$H$102,FALSE))+(COUNTIFS('TV2'!$L$6:$L$77,$A20,'TV2'!$H$6:$H$77,TRUE)+COUNTIFS('TV2'!$L$6:$L$77,$A20,'TV2'!$H$6:$H$77,FALSE))+(COUNTIFS('TV3'!$L$6:$L$75,$A20,'TV3'!$H$6:$H$75,TRUE)+COUNTIFS('TV3'!$L$6:$L$75,$A20,'TV3'!$H$6:$H$75,FALSE))+(COUNTIFS('TV4'!$L$6:$L$68,$A20,'TV4'!$H$6:$H$68,TRUE)+COUNTIFS('TV4'!$L$6:$L$68,$A20,'TV4'!$H$6:$H$68,FALSE))),0)</f>
        <v/>
      </c>
    </row>
    <row r="22">
      <c r="A22" s="18" t="inlineStr">
        <is>
          <t>Cổng kiểm tra</t>
        </is>
      </c>
    </row>
    <row r="23">
      <c r="A23" s="21" t="inlineStr">
        <is>
          <t>Cổng</t>
        </is>
      </c>
      <c r="B23" s="21" t="inlineStr">
        <is>
          <t>Điều kiện đạt</t>
        </is>
      </c>
      <c r="C23" s="21" t="inlineStr">
        <is>
          <t>Trạng thái</t>
        </is>
      </c>
    </row>
    <row r="24">
      <c r="A24" s="10" t="inlineStr">
        <is>
          <t>G0 · Cuối tuần 1, ngày 2</t>
        </is>
      </c>
      <c r="B24" s="19">
        <f>COUNTIFS('Cổng kiểm tra'!$A$5:$A$33,"G0",'Cổng kiểm tra'!$D$5:$D$33,TRUE)&amp;"/"&amp;COUNTIF('Cổng kiểm tra'!$A$5:$A$33,"G0")</f>
        <v/>
      </c>
      <c r="C24" s="22">
        <f>IF(COUNTIFS('Cổng kiểm tra'!$A$5:$A$33,"G0",'Cổng kiểm tra'!$D$5:$D$33,TRUE)=COUNTIF('Cổng kiểm tra'!$A$5:$A$33,"G0"),"ĐẠT","Chưa")</f>
        <v/>
      </c>
    </row>
    <row r="25">
      <c r="A25" s="10" t="inlineStr">
        <is>
          <t>G1 · Cuối tuần 1 (họp ~90 phút)</t>
        </is>
      </c>
      <c r="B25" s="19">
        <f>COUNTIFS('Cổng kiểm tra'!$A$5:$A$33,"G1",'Cổng kiểm tra'!$D$5:$D$33,TRUE)&amp;"/"&amp;COUNTIF('Cổng kiểm tra'!$A$5:$A$33,"G1")</f>
        <v/>
      </c>
      <c r="C25" s="22">
        <f>IF(COUNTIFS('Cổng kiểm tra'!$A$5:$A$33,"G1",'Cổng kiểm tra'!$D$5:$D$33,TRUE)=COUNTIF('Cổng kiểm tra'!$A$5:$A$33,"G1"),"ĐẠT","Chưa")</f>
        <v/>
      </c>
    </row>
    <row r="26">
      <c r="A26" s="10" t="inlineStr">
        <is>
          <t>G2 · Cuối tuần 3</t>
        </is>
      </c>
      <c r="B26" s="19">
        <f>COUNTIFS('Cổng kiểm tra'!$A$5:$A$33,"G2",'Cổng kiểm tra'!$D$5:$D$33,TRUE)&amp;"/"&amp;COUNTIF('Cổng kiểm tra'!$A$5:$A$33,"G2")</f>
        <v/>
      </c>
      <c r="C26" s="22">
        <f>IF(COUNTIFS('Cổng kiểm tra'!$A$5:$A$33,"G2",'Cổng kiểm tra'!$D$5:$D$33,TRUE)=COUNTIF('Cổng kiểm tra'!$A$5:$A$33,"G2"),"ĐẠT","Chưa")</f>
        <v/>
      </c>
    </row>
    <row r="27">
      <c r="A27" s="10" t="inlineStr">
        <is>
          <t>G3 · Cuối tuần 5</t>
        </is>
      </c>
      <c r="B27" s="19">
        <f>COUNTIFS('Cổng kiểm tra'!$A$5:$A$33,"G3",'Cổng kiểm tra'!$D$5:$D$33,TRUE)&amp;"/"&amp;COUNTIF('Cổng kiểm tra'!$A$5:$A$33,"G3")</f>
        <v/>
      </c>
      <c r="C27" s="22">
        <f>IF(COUNTIFS('Cổng kiểm tra'!$A$5:$A$33,"G3",'Cổng kiểm tra'!$D$5:$D$33,TRUE)=COUNTIF('Cổng kiểm tra'!$A$5:$A$33,"G3"),"ĐẠT","Chưa")</f>
        <v/>
      </c>
    </row>
    <row r="28">
      <c r="A28" s="10" t="inlineStr">
        <is>
          <t>G4 · Cuối tuần 7</t>
        </is>
      </c>
      <c r="B28" s="19">
        <f>COUNTIFS('Cổng kiểm tra'!$A$5:$A$33,"G4",'Cổng kiểm tra'!$D$5:$D$33,TRUE)&amp;"/"&amp;COUNTIF('Cổng kiểm tra'!$A$5:$A$33,"G4")</f>
        <v/>
      </c>
      <c r="C28" s="22">
        <f>IF(COUNTIFS('Cổng kiểm tra'!$A$5:$A$33,"G4",'Cổng kiểm tra'!$D$5:$D$33,TRUE)=COUNTIF('Cổng kiểm tra'!$A$5:$A$33,"G4"),"ĐẠT","Chưa")</f>
        <v/>
      </c>
    </row>
    <row r="29">
      <c r="A29" s="10" t="inlineStr">
        <is>
          <t>GĐ5 · Tuần 8</t>
        </is>
      </c>
      <c r="B29" s="19">
        <f>COUNTIFS('Cổng kiểm tra'!$A$5:$A$33,"GĐ5",'Cổng kiểm tra'!$D$5:$D$33,TRUE)&amp;"/"&amp;COUNTIF('Cổng kiểm tra'!$A$5:$A$33,"GĐ5")</f>
        <v/>
      </c>
      <c r="C29" s="22">
        <f>IF(COUNTIFS('Cổng kiểm tra'!$A$5:$A$33,"GĐ5",'Cổng kiểm tra'!$D$5:$D$33,TRUE)=COUNTIF('Cổng kiểm tra'!$A$5:$A$33,"GĐ5"),"ĐẠT","Chưa")</f>
        <v/>
      </c>
    </row>
  </sheetData>
  <conditionalFormatting sqref="E5:E9">
    <cfRule type="dataBar" priority="1">
      <dataBar>
        <cfvo type="num" val="0"/>
        <cfvo type="num" val="1"/>
        <color rgb="001E8E4E"/>
      </dataBar>
    </cfRule>
  </conditionalFormatting>
  <conditionalFormatting sqref="H13:H20">
    <cfRule type="dataBar" priority="2">
      <dataBar>
        <cfvo type="num" val="0"/>
        <cfvo type="num" val="1"/>
        <color rgb="00FF7A1A"/>
      </dataBar>
    </cfRule>
  </conditionalFormatting>
  <conditionalFormatting sqref="C24:C29">
    <cfRule type="expression" priority="3" dxfId="0">
      <formula>C24="ĐẠT"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8E4E"/>
    <outlinePr summaryBelow="1" summaryRight="1"/>
    <pageSetUpPr/>
  </sheetPr>
  <dimension ref="A1:L10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70" customWidth="1" min="4" max="4"/>
    <col width="12" customWidth="1" min="5" max="5"/>
    <col width="46" customWidth="1" min="6" max="6"/>
    <col width="6" customWidth="1" min="7" max="7"/>
    <col width="7" customWidth="1" min="8" max="8"/>
    <col width="12" customWidth="1" min="9" max="9"/>
    <col width="22" customWidth="1" min="10" max="10"/>
    <col width="22" customWidth="1" min="11" max="11"/>
    <col width="7" customWidth="1" min="12" max="12"/>
  </cols>
  <sheetData>
    <row r="1">
      <c r="A1" s="23" t="inlineStr">
        <is>
          <t>Checklist TV1 · Nền tảng, Tài khoản, Tiền</t>
        </is>
      </c>
    </row>
    <row r="2">
      <c r="A2" s="24" t="inlineStr">
        <is>
          <t>Thành viên:</t>
        </is>
      </c>
      <c r="B2" s="25" t="n"/>
      <c r="F2" s="26" t="inlineStr">
        <is>
          <t>Tiến độ:</t>
        </is>
      </c>
      <c r="G2" s="27">
        <f>IFERROR(COUNTIF($H$6:$H$102,TRUE)/(COUNTIF($H$6:$H$102,TRUE)+COUNTIF($H$6:$H$102,FALSE)),0)</f>
        <v/>
      </c>
      <c r="H2" s="28">
        <f>COUNTIF($H$6:$H$102,TRUE)&amp;"/"&amp;(COUNTIF($H$6:$H$102,TRUE)+COUNTIF($H$6:$H$102,FALSE))&amp;" bước"</f>
        <v/>
      </c>
    </row>
    <row r="3">
      <c r="A3" s="6" t="inlineStr">
        <is>
          <t>Tick cột "Xong" khi làm xong từng bước. Ô vàng là ô được sửa. Xem sheet "Hướng dẫn".</t>
        </is>
      </c>
    </row>
    <row r="5">
      <c r="A5" s="29" t="inlineStr">
        <is>
          <t>Mã</t>
        </is>
      </c>
      <c r="B5" s="29" t="inlineStr">
        <is>
          <t>Tuần</t>
        </is>
      </c>
      <c r="C5" s="29" t="inlineStr">
        <is>
          <t>Việc</t>
        </is>
      </c>
      <c r="D5" s="29" t="inlineStr">
        <is>
          <t>Bước cần làm</t>
        </is>
      </c>
      <c r="E5" s="29" t="inlineStr">
        <is>
          <t>Cần có trước</t>
        </is>
      </c>
      <c r="F5" s="29" t="inlineStr">
        <is>
          <t>Kết quả bàn giao / cách kiểm tra</t>
        </is>
      </c>
      <c r="G5" s="29" t="inlineStr">
        <is>
          <t>Giờ</t>
        </is>
      </c>
      <c r="H5" s="29" t="inlineStr">
        <is>
          <t>Xong</t>
        </is>
      </c>
      <c r="I5" s="29" t="inlineStr">
        <is>
          <t>Ngày xong</t>
        </is>
      </c>
      <c r="J5" s="29" t="inlineStr">
        <is>
          <t>Link PR</t>
        </is>
      </c>
      <c r="K5" s="29" t="inlineStr">
        <is>
          <t>Ghi chú</t>
        </is>
      </c>
      <c r="L5" s="29" t="inlineStr">
        <is>
          <t>Tuần số</t>
        </is>
      </c>
    </row>
    <row r="6">
      <c r="A6" s="30" t="inlineStr">
        <is>
          <t>C0</t>
        </is>
      </c>
      <c r="B6" s="30" t="inlineStr">
        <is>
          <t>1 · N1-2</t>
        </is>
      </c>
      <c r="C6" s="30" t="inlineStr">
        <is>
          <t>Chuẩn bị máy (cả nhóm)</t>
        </is>
      </c>
      <c r="D6" s="30" t="inlineStr"/>
      <c r="E6" s="30" t="inlineStr">
        <is>
          <t>—</t>
        </is>
      </c>
      <c r="F6" s="30" t="inlineStr">
        <is>
          <t>Máy chạy được CSDL, backend, frontend</t>
        </is>
      </c>
      <c r="G6" s="30" t="inlineStr">
        <is>
          <t>2</t>
        </is>
      </c>
      <c r="H6" s="31" t="n"/>
      <c r="I6" s="31" t="n"/>
      <c r="J6" s="31" t="n"/>
      <c r="K6" s="31" t="n"/>
      <c r="L6" s="32" t="n">
        <v>1</v>
      </c>
    </row>
    <row r="7">
      <c r="A7" s="33" t="inlineStr">
        <is>
          <t>C0</t>
        </is>
      </c>
      <c r="B7" s="33" t="inlineStr">
        <is>
          <t>1 · N1-2</t>
        </is>
      </c>
      <c r="C7" s="34" t="n"/>
      <c r="D7" s="35" t="inlineStr">
        <is>
          <t>Cài JDK 17+, Maven, Node.js 22, Git, XAMPP, VS Code + extension (Java, Spring Boot, Prettier, EditorConfig)</t>
        </is>
      </c>
      <c r="E7" s="34" t="n"/>
      <c r="F7" s="34" t="n"/>
      <c r="G7" s="34" t="n"/>
      <c r="H7" s="36" t="b">
        <v>0</v>
      </c>
      <c r="I7" s="37" t="n"/>
      <c r="J7" s="38" t="n"/>
      <c r="K7" s="38" t="n"/>
      <c r="L7" s="33" t="n">
        <v>1</v>
      </c>
    </row>
    <row r="8">
      <c r="A8" s="33" t="inlineStr">
        <is>
          <t>C0</t>
        </is>
      </c>
      <c r="B8" s="33" t="inlineStr">
        <is>
          <t>1 · N1-2</t>
        </is>
      </c>
      <c r="C8" s="34" t="n"/>
      <c r="D8" s="35" t="inlineStr">
        <is>
          <t>Clone repo vào thư mục KHÔNG dấu, git checkout develop</t>
        </is>
      </c>
      <c r="E8" s="34" t="n"/>
      <c r="F8" s="34" t="n"/>
      <c r="G8" s="34" t="n"/>
      <c r="H8" s="36" t="b">
        <v>0</v>
      </c>
      <c r="I8" s="37" t="n"/>
      <c r="J8" s="38" t="n"/>
      <c r="K8" s="38" t="n"/>
      <c r="L8" s="33" t="n">
        <v>1</v>
      </c>
    </row>
    <row r="9">
      <c r="A9" s="33" t="inlineStr">
        <is>
          <t>C0</t>
        </is>
      </c>
      <c r="B9" s="33" t="inlineStr">
        <is>
          <t>1 · N1-2</t>
        </is>
      </c>
      <c r="C9" s="34" t="n"/>
      <c r="D9" s="35" t="inlineStr">
        <is>
          <t>Tạo CSDL bằng database/foodrescue_schema.sql (XAMPP), chạy foodrescue_checks.sql thấy sạch</t>
        </is>
      </c>
      <c r="E9" s="34" t="n"/>
      <c r="F9" s="34" t="n"/>
      <c r="G9" s="34" t="n"/>
      <c r="H9" s="36" t="b">
        <v>0</v>
      </c>
      <c r="I9" s="37" t="n"/>
      <c r="J9" s="38" t="n"/>
      <c r="K9" s="38" t="n"/>
      <c r="L9" s="33" t="n">
        <v>1</v>
      </c>
    </row>
    <row r="10">
      <c r="A10" s="33" t="inlineStr">
        <is>
          <t>C0</t>
        </is>
      </c>
      <c r="B10" s="33" t="inlineStr">
        <is>
          <t>1 · N1-2</t>
        </is>
      </c>
      <c r="C10" s="34" t="n"/>
      <c r="D10" s="35" t="inlineStr">
        <is>
          <t>Tạo application-local.yml từ file .example; mvn spring-boot:run; mở /api/ping thấy ok</t>
        </is>
      </c>
      <c r="E10" s="34" t="n"/>
      <c r="F10" s="34" t="n"/>
      <c r="G10" s="34" t="n"/>
      <c r="H10" s="36" t="b">
        <v>0</v>
      </c>
      <c r="I10" s="37" t="n"/>
      <c r="J10" s="38" t="n"/>
      <c r="K10" s="38" t="n"/>
      <c r="L10" s="33" t="n">
        <v>1</v>
      </c>
    </row>
    <row r="11">
      <c r="A11" s="33" t="inlineStr">
        <is>
          <t>C0</t>
        </is>
      </c>
      <c r="B11" s="33" t="inlineStr">
        <is>
          <t>1 · N1-2</t>
        </is>
      </c>
      <c r="C11" s="34" t="n"/>
      <c r="D11" s="35" t="inlineStr">
        <is>
          <t>npm install, npm run dev; mở localhost:5173 thấy "đã nối được backend"</t>
        </is>
      </c>
      <c r="E11" s="34" t="n"/>
      <c r="F11" s="34" t="n"/>
      <c r="G11" s="34" t="n"/>
      <c r="H11" s="36" t="b">
        <v>0</v>
      </c>
      <c r="I11" s="37" t="n"/>
      <c r="J11" s="38" t="n"/>
      <c r="K11" s="38" t="n"/>
      <c r="L11" s="33" t="n">
        <v>1</v>
      </c>
    </row>
    <row r="12">
      <c r="A12" s="33" t="inlineStr">
        <is>
          <t>C0</t>
        </is>
      </c>
      <c r="B12" s="33" t="inlineStr">
        <is>
          <t>1 · N1-2</t>
        </is>
      </c>
      <c r="C12" s="34" t="n"/>
      <c r="D12" s="35" t="inlineStr">
        <is>
          <t>Đọc tài liệu dự án mục 2-5 và toàn bộ Quy ước chung</t>
        </is>
      </c>
      <c r="E12" s="34" t="n"/>
      <c r="F12" s="34" t="n"/>
      <c r="G12" s="34" t="n"/>
      <c r="H12" s="36" t="b">
        <v>0</v>
      </c>
      <c r="I12" s="37" t="n"/>
      <c r="J12" s="38" t="n"/>
      <c r="K12" s="38" t="n"/>
      <c r="L12" s="33" t="n">
        <v>1</v>
      </c>
    </row>
    <row r="13">
      <c r="A13" s="33" t="inlineStr">
        <is>
          <t>C0</t>
        </is>
      </c>
      <c r="B13" s="33" t="inlineStr">
        <is>
          <t>1 · N1-2</t>
        </is>
      </c>
      <c r="C13" s="34" t="n"/>
      <c r="D13" s="35" t="inlineStr">
        <is>
          <t>Tạo nhánh đầu tiên, mở 1 Pull Request thử, thấy CI chạy</t>
        </is>
      </c>
      <c r="E13" s="34" t="n"/>
      <c r="F13" s="34" t="n"/>
      <c r="G13" s="34" t="n"/>
      <c r="H13" s="36" t="b">
        <v>0</v>
      </c>
      <c r="I13" s="37" t="n"/>
      <c r="J13" s="38" t="n"/>
      <c r="K13" s="38" t="n"/>
      <c r="L13" s="33" t="n">
        <v>1</v>
      </c>
    </row>
    <row r="14">
      <c r="A14" s="33" t="inlineStr">
        <is>
          <t>C0</t>
        </is>
      </c>
      <c r="B14" s="33" t="inlineStr">
        <is>
          <t>1 · N1-2</t>
        </is>
      </c>
      <c r="C14" s="34" t="n"/>
      <c r="D14" s="39" t="inlineStr">
        <is>
          <t>✔ Kiểm tra: C0 chênh lệch 0; C1-C12 không trả dòng nào</t>
        </is>
      </c>
      <c r="E14" s="34" t="n"/>
      <c r="F14" s="34" t="n"/>
      <c r="G14" s="34" t="n"/>
      <c r="H14" s="36" t="b">
        <v>0</v>
      </c>
      <c r="I14" s="37" t="n"/>
      <c r="J14" s="38" t="n"/>
      <c r="K14" s="38" t="n"/>
      <c r="L14" s="33" t="n">
        <v>1</v>
      </c>
    </row>
    <row r="15">
      <c r="A15" s="30" t="inlineStr">
        <is>
          <t>F1</t>
        </is>
      </c>
      <c r="B15" s="30" t="inlineStr">
        <is>
          <t>1 · N1</t>
        </is>
      </c>
      <c r="C15" s="30" t="inlineStr">
        <is>
          <t>Tạo repo</t>
        </is>
      </c>
      <c r="D15" s="30" t="inlineStr"/>
      <c r="E15" s="30" t="inlineStr">
        <is>
          <t>—</t>
        </is>
      </c>
      <c r="F15" s="30" t="inlineStr">
        <is>
          <t>Repo có develop; mọi người clone được</t>
        </is>
      </c>
      <c r="G15" s="30" t="inlineStr">
        <is>
          <t>2</t>
        </is>
      </c>
      <c r="H15" s="31" t="n"/>
      <c r="I15" s="31" t="n"/>
      <c r="J15" s="31" t="n"/>
      <c r="K15" s="31" t="n"/>
      <c r="L15" s="32" t="n">
        <v>1</v>
      </c>
    </row>
    <row r="16">
      <c r="A16" s="33" t="inlineStr">
        <is>
          <t>F1</t>
        </is>
      </c>
      <c r="B16" s="33" t="inlineStr">
        <is>
          <t>1 · N1</t>
        </is>
      </c>
      <c r="C16" s="34" t="n"/>
      <c r="D16" s="35" t="inlineStr">
        <is>
          <t>Tạo repo foodrescue gồm backend/, frontend/, database/, docs/.</t>
        </is>
      </c>
      <c r="E16" s="34" t="n"/>
      <c r="F16" s="34" t="n"/>
      <c r="G16" s="34" t="n"/>
      <c r="H16" s="36" t="b">
        <v>0</v>
      </c>
      <c r="I16" s="37" t="n"/>
      <c r="J16" s="38" t="n"/>
      <c r="K16" s="38" t="n"/>
      <c r="L16" s="33" t="n">
        <v>1</v>
      </c>
    </row>
    <row r="17">
      <c r="A17" s="33" t="inlineStr">
        <is>
          <t>F1</t>
        </is>
      </c>
      <c r="B17" s="33" t="inlineStr">
        <is>
          <t>1 · N1</t>
        </is>
      </c>
      <c r="C17" s="34" t="n"/>
      <c r="D17" s="35" t="inlineStr">
        <is>
          <t>Chép .editorconfig, .gitattributes, .github/ từ quy_uoc_chung; chép 2 file SQL vào database/.</t>
        </is>
      </c>
      <c r="E17" s="34" t="n"/>
      <c r="F17" s="34" t="n"/>
      <c r="G17" s="34" t="n"/>
      <c r="H17" s="36" t="b">
        <v>0</v>
      </c>
      <c r="I17" s="37" t="n"/>
      <c r="J17" s="38" t="n"/>
      <c r="K17" s="38" t="n"/>
      <c r="L17" s="33" t="n">
        <v>1</v>
      </c>
    </row>
    <row r="18">
      <c r="A18" s="33" t="inlineStr">
        <is>
          <t>F1</t>
        </is>
      </c>
      <c r="B18" s="33" t="inlineStr">
        <is>
          <t>1 · N1</t>
        </is>
      </c>
      <c r="C18" s="34" t="n"/>
      <c r="D18" s="35" t="inlineStr">
        <is>
          <t>Tạo nhánh develop; bảo vệ main, develop (bắt buộc PR + 1 duyệt).</t>
        </is>
      </c>
      <c r="E18" s="34" t="n"/>
      <c r="F18" s="34" t="n"/>
      <c r="G18" s="34" t="n"/>
      <c r="H18" s="36" t="b">
        <v>0</v>
      </c>
      <c r="I18" s="37" t="n"/>
      <c r="J18" s="38" t="n"/>
      <c r="K18" s="38" t="n"/>
      <c r="L18" s="33" t="n">
        <v>1</v>
      </c>
    </row>
    <row r="19">
      <c r="A19" s="33" t="inlineStr">
        <is>
          <t>F1</t>
        </is>
      </c>
      <c r="B19" s="33" t="inlineStr">
        <is>
          <t>1 · N1</t>
        </is>
      </c>
      <c r="C19" s="34" t="n"/>
      <c r="D19" s="35" t="inlineStr">
        <is>
          <t>Tạo nhãn shared-change, api, db, bug; bảng GitHub Projects 5 cột.</t>
        </is>
      </c>
      <c r="E19" s="34" t="n"/>
      <c r="F19" s="34" t="n"/>
      <c r="G19" s="34" t="n"/>
      <c r="H19" s="36" t="b">
        <v>0</v>
      </c>
      <c r="I19" s="37" t="n"/>
      <c r="J19" s="38" t="n"/>
      <c r="K19" s="38" t="n"/>
      <c r="L19" s="33" t="n">
        <v>1</v>
      </c>
    </row>
    <row r="20">
      <c r="A20" s="33" t="inlineStr">
        <is>
          <t>F1</t>
        </is>
      </c>
      <c r="B20" s="33" t="inlineStr">
        <is>
          <t>1 · N1</t>
        </is>
      </c>
      <c r="C20" s="34" t="n"/>
      <c r="D20" s="35" t="inlineStr">
        <is>
          <t>Mời 3 thành viên.</t>
        </is>
      </c>
      <c r="E20" s="34" t="n"/>
      <c r="F20" s="34" t="n"/>
      <c r="G20" s="34" t="n"/>
      <c r="H20" s="36" t="b">
        <v>0</v>
      </c>
      <c r="I20" s="37" t="n"/>
      <c r="J20" s="38" t="n"/>
      <c r="K20" s="38" t="n"/>
      <c r="L20" s="33" t="n">
        <v>1</v>
      </c>
    </row>
    <row r="21">
      <c r="A21" s="33" t="inlineStr">
        <is>
          <t>F1</t>
        </is>
      </c>
      <c r="B21" s="33" t="inlineStr">
        <is>
          <t>1 · N1</t>
        </is>
      </c>
      <c r="C21" s="34" t="n"/>
      <c r="D21" s="39" t="inlineStr">
        <is>
          <t>✔ Kiểm tra: Push thẳng lên develop bị từ chối</t>
        </is>
      </c>
      <c r="E21" s="34" t="n"/>
      <c r="F21" s="34" t="n"/>
      <c r="G21" s="34" t="n"/>
      <c r="H21" s="36" t="b">
        <v>0</v>
      </c>
      <c r="I21" s="37" t="n"/>
      <c r="J21" s="38" t="n"/>
      <c r="K21" s="38" t="n"/>
      <c r="L21" s="33" t="n">
        <v>1</v>
      </c>
    </row>
    <row r="22">
      <c r="A22" s="30" t="inlineStr">
        <is>
          <t>F2</t>
        </is>
      </c>
      <c r="B22" s="30" t="inlineStr">
        <is>
          <t>1 · N1-2</t>
        </is>
      </c>
      <c r="C22" s="30" t="inlineStr">
        <is>
          <t>Khung Spring Boot</t>
        </is>
      </c>
      <c r="D22" s="30" t="inlineStr"/>
      <c r="E22" s="30" t="inlineStr">
        <is>
          <t>F1</t>
        </is>
      </c>
      <c r="F22" s="30" t="inlineStr">
        <is>
          <t>mvn spring-boot:run nối được foodrescuedb; Swagger mở được</t>
        </is>
      </c>
      <c r="G22" s="30" t="inlineStr">
        <is>
          <t>5</t>
        </is>
      </c>
      <c r="H22" s="31" t="n"/>
      <c r="I22" s="31" t="n"/>
      <c r="J22" s="31" t="n"/>
      <c r="K22" s="31" t="n"/>
      <c r="L22" s="32" t="n">
        <v>1</v>
      </c>
    </row>
    <row r="23">
      <c r="A23" s="33" t="inlineStr">
        <is>
          <t>F2</t>
        </is>
      </c>
      <c r="B23" s="33" t="inlineStr">
        <is>
          <t>1 · N1-2</t>
        </is>
      </c>
      <c r="C23" s="34" t="n"/>
      <c r="D23" s="35" t="inlineStr">
        <is>
          <t>Spring Initializr: Java 17, Boot 3.3.x, Web, Data JPA, Security, Validation, MySQL Driver, Lombok; thêm jjwt, springdoc-openapi.</t>
        </is>
      </c>
      <c r="E23" s="34" t="n"/>
      <c r="F23" s="34" t="n"/>
      <c r="G23" s="34" t="n"/>
      <c r="H23" s="36" t="b">
        <v>0</v>
      </c>
      <c r="I23" s="37" t="n"/>
      <c r="J23" s="38" t="n"/>
      <c r="K23" s="38" t="n"/>
      <c r="L23" s="33" t="n">
        <v>1</v>
      </c>
    </row>
    <row r="24">
      <c r="A24" s="33" t="inlineStr">
        <is>
          <t>F2</t>
        </is>
      </c>
      <c r="B24" s="33" t="inlineStr">
        <is>
          <t>1 · N1-2</t>
        </is>
      </c>
      <c r="C24" s="34" t="n"/>
      <c r="D24" s="35" t="inlineStr">
        <is>
          <t>Chép quy_uoc_chung/backend (common/*, application.yml, MoneyTest).</t>
        </is>
      </c>
      <c r="E24" s="34" t="n"/>
      <c r="F24" s="34" t="n"/>
      <c r="G24" s="34" t="n"/>
      <c r="H24" s="36" t="b">
        <v>0</v>
      </c>
      <c r="I24" s="37" t="n"/>
      <c r="J24" s="38" t="n"/>
      <c r="K24" s="38" t="n"/>
      <c r="L24" s="33" t="n">
        <v>1</v>
      </c>
    </row>
    <row r="25">
      <c r="A25" s="33" t="inlineStr">
        <is>
          <t>F2</t>
        </is>
      </c>
      <c r="B25" s="33" t="inlineStr">
        <is>
          <t>1 · N1-2</t>
        </is>
      </c>
      <c r="C25" s="34" t="n"/>
      <c r="D25" s="35" t="inlineStr">
        <is>
          <t>Tạo application-local.example.yml (mật khẩu MySQL, JWT, VNPay), thêm bản thật vào .gitignore.</t>
        </is>
      </c>
      <c r="E25" s="34" t="n"/>
      <c r="F25" s="34" t="n"/>
      <c r="G25" s="34" t="n"/>
      <c r="H25" s="36" t="b">
        <v>0</v>
      </c>
      <c r="I25" s="37" t="n"/>
      <c r="J25" s="38" t="n"/>
      <c r="K25" s="38" t="n"/>
      <c r="L25" s="33" t="n">
        <v>1</v>
      </c>
    </row>
    <row r="26">
      <c r="A26" s="33" t="inlineStr">
        <is>
          <t>F2</t>
        </is>
      </c>
      <c r="B26" s="33" t="inlineStr">
        <is>
          <t>1 · N1-2</t>
        </is>
      </c>
      <c r="C26" s="34" t="n"/>
      <c r="D26" s="35" t="inlineStr">
        <is>
          <t>CORS cho localhost:5173.</t>
        </is>
      </c>
      <c r="E26" s="34" t="n"/>
      <c r="F26" s="34" t="n"/>
      <c r="G26" s="34" t="n"/>
      <c r="H26" s="36" t="b">
        <v>0</v>
      </c>
      <c r="I26" s="37" t="n"/>
      <c r="J26" s="38" t="n"/>
      <c r="K26" s="38" t="n"/>
      <c r="L26" s="33" t="n">
        <v>1</v>
      </c>
    </row>
    <row r="27">
      <c r="A27" s="33" t="inlineStr">
        <is>
          <t>F2</t>
        </is>
      </c>
      <c r="B27" s="33" t="inlineStr">
        <is>
          <t>1 · N1-2</t>
        </is>
      </c>
      <c r="C27" s="34" t="n"/>
      <c r="D27" s="35" t="inlineStr">
        <is>
          <t>API GET /api/ping công khai.</t>
        </is>
      </c>
      <c r="E27" s="34" t="n"/>
      <c r="F27" s="34" t="n"/>
      <c r="G27" s="34" t="n"/>
      <c r="H27" s="36" t="b">
        <v>0</v>
      </c>
      <c r="I27" s="37" t="n"/>
      <c r="J27" s="38" t="n"/>
      <c r="K27" s="38" t="n"/>
      <c r="L27" s="33" t="n">
        <v>1</v>
      </c>
    </row>
    <row r="28">
      <c r="A28" s="33" t="inlineStr">
        <is>
          <t>F2</t>
        </is>
      </c>
      <c r="B28" s="33" t="inlineStr">
        <is>
          <t>1 · N1-2</t>
        </is>
      </c>
      <c r="C28" s="34" t="n"/>
      <c r="D28" s="39" t="inlineStr">
        <is>
          <t>✔ Kiểm tra: MoneyTest pass; /api/ping trả 200</t>
        </is>
      </c>
      <c r="E28" s="34" t="n"/>
      <c r="F28" s="34" t="n"/>
      <c r="G28" s="34" t="n"/>
      <c r="H28" s="36" t="b">
        <v>0</v>
      </c>
      <c r="I28" s="37" t="n"/>
      <c r="J28" s="38" t="n"/>
      <c r="K28" s="38" t="n"/>
      <c r="L28" s="33" t="n">
        <v>1</v>
      </c>
    </row>
    <row r="29">
      <c r="A29" s="30" t="inlineStr">
        <is>
          <t>F5</t>
        </is>
      </c>
      <c r="B29" s="30" t="inlineStr">
        <is>
          <t>1 · N1-2</t>
        </is>
      </c>
      <c r="C29" s="30" t="inlineStr">
        <is>
          <t>Khung React</t>
        </is>
      </c>
      <c r="D29" s="30" t="inlineStr"/>
      <c r="E29" s="30" t="inlineStr">
        <is>
          <t>F1</t>
        </is>
      </c>
      <c r="F29" s="30" t="inlineStr">
        <is>
          <t>npm run dev thấy 3 khu; npm run build chạy được</t>
        </is>
      </c>
      <c r="G29" s="30" t="inlineStr">
        <is>
          <t>8</t>
        </is>
      </c>
      <c r="H29" s="31" t="n"/>
      <c r="I29" s="31" t="n"/>
      <c r="J29" s="31" t="n"/>
      <c r="K29" s="31" t="n"/>
      <c r="L29" s="32" t="n">
        <v>1</v>
      </c>
    </row>
    <row r="30">
      <c r="A30" s="33" t="inlineStr">
        <is>
          <t>F5</t>
        </is>
      </c>
      <c r="B30" s="33" t="inlineStr">
        <is>
          <t>1 · N1-2</t>
        </is>
      </c>
      <c r="C30" s="34" t="n"/>
      <c r="D30" s="35" t="inlineStr">
        <is>
          <t>Vite + React; cài antd @ant-design/icons axios react-router-dom dayjs react-leaflet leaflet qrcode.react recharts.</t>
        </is>
      </c>
      <c r="E30" s="34" t="n"/>
      <c r="F30" s="34" t="n"/>
      <c r="G30" s="34" t="n"/>
      <c r="H30" s="36" t="b">
        <v>0</v>
      </c>
      <c r="I30" s="37" t="n"/>
      <c r="J30" s="38" t="n"/>
      <c r="K30" s="38" t="n"/>
      <c r="L30" s="33" t="n">
        <v>1</v>
      </c>
    </row>
    <row r="31">
      <c r="A31" s="33" t="inlineStr">
        <is>
          <t>F5</t>
        </is>
      </c>
      <c r="B31" s="33" t="inlineStr">
        <is>
          <t>1 · N1-2</t>
        </is>
      </c>
      <c r="C31" s="34" t="n"/>
      <c r="D31" s="35" t="inlineStr">
        <is>
          <t>Chép quy_uoc_chung/frontend; thêm font Be Vietnam Pro; bọc ConfigProvider theme={antdTheme} locale={viVN}.</t>
        </is>
      </c>
      <c r="E31" s="34" t="n"/>
      <c r="F31" s="34" t="n"/>
      <c r="G31" s="34" t="n"/>
      <c r="H31" s="36" t="b">
        <v>0</v>
      </c>
      <c r="I31" s="37" t="n"/>
      <c r="J31" s="38" t="n"/>
      <c r="K31" s="38" t="n"/>
      <c r="L31" s="33" t="n">
        <v>1</v>
      </c>
    </row>
    <row r="32">
      <c r="A32" s="33" t="inlineStr">
        <is>
          <t>F5</t>
        </is>
      </c>
      <c r="B32" s="33" t="inlineStr">
        <is>
          <t>1 · N1-2</t>
        </is>
      </c>
      <c r="C32" s="34" t="n"/>
      <c r="D32" s="35" t="inlineStr">
        <is>
          <t>3 layout: Customer (header trắng), Store và Admin (menu trái).</t>
        </is>
      </c>
      <c r="E32" s="34" t="n"/>
      <c r="F32" s="34" t="n"/>
      <c r="G32" s="34" t="n"/>
      <c r="H32" s="36" t="b">
        <v>0</v>
      </c>
      <c r="I32" s="37" t="n"/>
      <c r="J32" s="38" t="n"/>
      <c r="K32" s="38" t="n"/>
      <c r="L32" s="33" t="n">
        <v>1</v>
      </c>
    </row>
    <row r="33">
      <c r="A33" s="33" t="inlineStr">
        <is>
          <t>F5</t>
        </is>
      </c>
      <c r="B33" s="33" t="inlineStr">
        <is>
          <t>1 · N1-2</t>
        </is>
      </c>
      <c r="C33" s="34" t="n"/>
      <c r="D33" s="35" t="inlineStr">
        <is>
          <t>app/routes.jsx gộp routes của 5 feature; tạo sẵn file routes.jsx, menu.js rỗng cho cả 4 người.</t>
        </is>
      </c>
      <c r="E33" s="34" t="n"/>
      <c r="F33" s="34" t="n"/>
      <c r="G33" s="34" t="n"/>
      <c r="H33" s="36" t="b">
        <v>0</v>
      </c>
      <c r="I33" s="37" t="n"/>
      <c r="J33" s="38" t="n"/>
      <c r="K33" s="38" t="n"/>
      <c r="L33" s="33" t="n">
        <v>1</v>
      </c>
    </row>
    <row r="34">
      <c r="A34" s="33" t="inlineStr">
        <is>
          <t>F5</t>
        </is>
      </c>
      <c r="B34" s="33" t="inlineStr">
        <is>
          <t>1 · N1-2</t>
        </is>
      </c>
      <c r="C34" s="34" t="n"/>
      <c r="D34" s="35" t="inlineStr">
        <is>
          <t>PrivateRoute roles=[...], lưu đăng nhập trong localStorage.</t>
        </is>
      </c>
      <c r="E34" s="34" t="n"/>
      <c r="F34" s="34" t="n"/>
      <c r="G34" s="34" t="n"/>
      <c r="H34" s="36" t="b">
        <v>0</v>
      </c>
      <c r="I34" s="37" t="n"/>
      <c r="J34" s="38" t="n"/>
      <c r="K34" s="38" t="n"/>
      <c r="L34" s="33" t="n">
        <v>1</v>
      </c>
    </row>
    <row r="35">
      <c r="A35" s="33" t="inlineStr">
        <is>
          <t>F5</t>
        </is>
      </c>
      <c r="B35" s="33" t="inlineStr">
        <is>
          <t>1 · N1-2</t>
        </is>
      </c>
      <c r="C35" s="34" t="n"/>
      <c r="D35" s="35" t="inlineStr">
        <is>
          <t>Vite proxy /api sang 8080.</t>
        </is>
      </c>
      <c r="E35" s="34" t="n"/>
      <c r="F35" s="34" t="n"/>
      <c r="G35" s="34" t="n"/>
      <c r="H35" s="36" t="b">
        <v>0</v>
      </c>
      <c r="I35" s="37" t="n"/>
      <c r="J35" s="38" t="n"/>
      <c r="K35" s="38" t="n"/>
      <c r="L35" s="33" t="n">
        <v>1</v>
      </c>
    </row>
    <row r="36">
      <c r="A36" s="33" t="inlineStr">
        <is>
          <t>F5</t>
        </is>
      </c>
      <c r="B36" s="33" t="inlineStr">
        <is>
          <t>1 · N1-2</t>
        </is>
      </c>
      <c r="C36" s="34" t="n"/>
      <c r="D36" s="39" t="inlineStr">
        <is>
          <t>✔ Kiểm tra: Mở /admin khi chưa đăng nhập thì về /login</t>
        </is>
      </c>
      <c r="E36" s="34" t="n"/>
      <c r="F36" s="34" t="n"/>
      <c r="G36" s="34" t="n"/>
      <c r="H36" s="36" t="b">
        <v>0</v>
      </c>
      <c r="I36" s="37" t="n"/>
      <c r="J36" s="38" t="n"/>
      <c r="K36" s="38" t="n"/>
      <c r="L36" s="33" t="n">
        <v>1</v>
      </c>
    </row>
    <row r="37">
      <c r="A37" s="30" t="inlineStr">
        <is>
          <t>F3</t>
        </is>
      </c>
      <c r="B37" s="30" t="inlineStr">
        <is>
          <t>1 · N3</t>
        </is>
      </c>
      <c r="C37" s="30" t="inlineStr">
        <is>
          <t>13 entity</t>
        </is>
      </c>
      <c r="D37" s="30" t="inlineStr"/>
      <c r="E37" s="30" t="inlineStr">
        <is>
          <t>F2</t>
        </is>
      </c>
      <c r="F37" s="30" t="inlineStr">
        <is>
          <t>13 entity + 13 repository; sau đó chỉ sửa qua PR [DB]</t>
        </is>
      </c>
      <c r="G37" s="30" t="inlineStr">
        <is>
          <t>6</t>
        </is>
      </c>
      <c r="H37" s="31" t="n"/>
      <c r="I37" s="31" t="n"/>
      <c r="J37" s="31" t="n"/>
      <c r="K37" s="31" t="n"/>
      <c r="L37" s="32" t="n">
        <v>1</v>
      </c>
    </row>
    <row r="38">
      <c r="A38" s="33" t="inlineStr">
        <is>
          <t>F3</t>
        </is>
      </c>
      <c r="B38" s="33" t="inlineStr">
        <is>
          <t>1 · N3</t>
        </is>
      </c>
      <c r="C38" s="34" t="n"/>
      <c r="D38" s="35" t="inlineStr">
        <is>
          <t>Viết entity cho 13 bảng theo "Ghi chú JPA" (tài liệu dự án mục 10): @IdClass cho cart_items, enum dạng STRING, tiền BigDecimal, @ManyToOne(fetch = LAZY), @Immutable cho StockMovement, AuditLog.</t>
        </is>
      </c>
      <c r="E38" s="34" t="n"/>
      <c r="F38" s="34" t="n"/>
      <c r="G38" s="34" t="n"/>
      <c r="H38" s="36" t="b">
        <v>0</v>
      </c>
      <c r="I38" s="37" t="n"/>
      <c r="J38" s="38" t="n"/>
      <c r="K38" s="38" t="n"/>
      <c r="L38" s="33" t="n">
        <v>1</v>
      </c>
    </row>
    <row r="39">
      <c r="A39" s="33" t="inlineStr">
        <is>
          <t>F3</t>
        </is>
      </c>
      <c r="B39" s="33" t="inlineStr">
        <is>
          <t>1 · N3</t>
        </is>
      </c>
      <c r="C39" s="34" t="n"/>
      <c r="D39" s="35" t="inlineStr">
        <is>
          <t>Repository cơ bản cho từng entity.</t>
        </is>
      </c>
      <c r="E39" s="34" t="n"/>
      <c r="F39" s="34" t="n"/>
      <c r="G39" s="34" t="n"/>
      <c r="H39" s="36" t="b">
        <v>0</v>
      </c>
      <c r="I39" s="37" t="n"/>
      <c r="J39" s="38" t="n"/>
      <c r="K39" s="38" t="n"/>
      <c r="L39" s="33" t="n">
        <v>1</v>
      </c>
    </row>
    <row r="40">
      <c r="A40" s="33" t="inlineStr">
        <is>
          <t>F3</t>
        </is>
      </c>
      <c r="B40" s="33" t="inlineStr">
        <is>
          <t>1 · N3</t>
        </is>
      </c>
      <c r="C40" s="34" t="n"/>
      <c r="D40" s="35" t="inlineStr">
        <is>
          <t>Chạy ứng dụng với ddl-auto=validate, sửa đến khi hết lỗi.</t>
        </is>
      </c>
      <c r="E40" s="34" t="n"/>
      <c r="F40" s="34" t="n"/>
      <c r="G40" s="34" t="n"/>
      <c r="H40" s="36" t="b">
        <v>0</v>
      </c>
      <c r="I40" s="37" t="n"/>
      <c r="J40" s="38" t="n"/>
      <c r="K40" s="38" t="n"/>
      <c r="L40" s="33" t="n">
        <v>1</v>
      </c>
    </row>
    <row r="41">
      <c r="A41" s="33" t="inlineStr">
        <is>
          <t>F3</t>
        </is>
      </c>
      <c r="B41" s="33" t="inlineStr">
        <is>
          <t>1 · N3</t>
        </is>
      </c>
      <c r="C41" s="34" t="n"/>
      <c r="D41" s="39" t="inlineStr">
        <is>
          <t>✔ Kiểm tra: Ứng dụng khởi động không lỗi validate</t>
        </is>
      </c>
      <c r="E41" s="34" t="n"/>
      <c r="F41" s="34" t="n"/>
      <c r="G41" s="34" t="n"/>
      <c r="H41" s="36" t="b">
        <v>0</v>
      </c>
      <c r="I41" s="37" t="n"/>
      <c r="J41" s="38" t="n"/>
      <c r="K41" s="38" t="n"/>
      <c r="L41" s="33" t="n">
        <v>1</v>
      </c>
    </row>
    <row r="42">
      <c r="A42" s="30" t="inlineStr">
        <is>
          <t>F4</t>
        </is>
      </c>
      <c r="B42" s="30" t="inlineStr">
        <is>
          <t>1 · N3-4</t>
        </is>
      </c>
      <c r="C42" s="30" t="inlineStr">
        <is>
          <t>Bảo mật JWT</t>
        </is>
      </c>
      <c r="D42" s="30" t="inlineStr"/>
      <c r="E42" s="30" t="inlineStr">
        <is>
          <t>F3</t>
        </is>
      </c>
      <c r="F42" s="30" t="inlineStr">
        <is>
          <t>Mọi người gọi API có quyền bằng DevAuth</t>
        </is>
      </c>
      <c r="G42" s="30" t="inlineStr">
        <is>
          <t>8</t>
        </is>
      </c>
      <c r="H42" s="31" t="n"/>
      <c r="I42" s="31" t="n"/>
      <c r="J42" s="31" t="n"/>
      <c r="K42" s="31" t="n"/>
      <c r="L42" s="32" t="n">
        <v>1</v>
      </c>
    </row>
    <row r="43">
      <c r="A43" s="33" t="inlineStr">
        <is>
          <t>F4</t>
        </is>
      </c>
      <c r="B43" s="33" t="inlineStr">
        <is>
          <t>1 · N3-4</t>
        </is>
      </c>
      <c r="C43" s="34" t="n"/>
      <c r="D43" s="35" t="inlineStr">
        <is>
          <t>JwtService (tạo, đọc token 24 giờ), JwtAuthFilter.</t>
        </is>
      </c>
      <c r="E43" s="34" t="n"/>
      <c r="F43" s="34" t="n"/>
      <c r="G43" s="34" t="n"/>
      <c r="H43" s="36" t="b">
        <v>0</v>
      </c>
      <c r="I43" s="37" t="n"/>
      <c r="J43" s="38" t="n"/>
      <c r="K43" s="38" t="n"/>
      <c r="L43" s="33" t="n">
        <v>1</v>
      </c>
    </row>
    <row r="44">
      <c r="A44" s="33" t="inlineStr">
        <is>
          <t>F4</t>
        </is>
      </c>
      <c r="B44" s="33" t="inlineStr">
        <is>
          <t>1 · N3-4</t>
        </is>
      </c>
      <c r="C44" s="34" t="n"/>
      <c r="D44" s="35" t="inlineStr">
        <is>
          <t>Quy tắc URL theo khu vực (Quy ước chung mục 5.1).</t>
        </is>
      </c>
      <c r="E44" s="34" t="n"/>
      <c r="F44" s="34" t="n"/>
      <c r="G44" s="34" t="n"/>
      <c r="H44" s="36" t="b">
        <v>0</v>
      </c>
      <c r="I44" s="37" t="n"/>
      <c r="J44" s="38" t="n"/>
      <c r="K44" s="38" t="n"/>
      <c r="L44" s="33" t="n">
        <v>1</v>
      </c>
    </row>
    <row r="45">
      <c r="A45" s="33" t="inlineStr">
        <is>
          <t>F4</t>
        </is>
      </c>
      <c r="B45" s="33" t="inlineStr">
        <is>
          <t>1 · N3-4</t>
        </is>
      </c>
      <c r="C45" s="34" t="n"/>
      <c r="D45" s="35" t="inlineStr">
        <is>
          <t>CurrentUser trả {id, role, storeId, mustChangePassword}.</t>
        </is>
      </c>
      <c r="E45" s="34" t="n"/>
      <c r="F45" s="34" t="n"/>
      <c r="G45" s="34" t="n"/>
      <c r="H45" s="36" t="b">
        <v>0</v>
      </c>
      <c r="I45" s="37" t="n"/>
      <c r="J45" s="38" t="n"/>
      <c r="K45" s="38" t="n"/>
      <c r="L45" s="33" t="n">
        <v>1</v>
      </c>
    </row>
    <row r="46">
      <c r="A46" s="33" t="inlineStr">
        <is>
          <t>F4</t>
        </is>
      </c>
      <c r="B46" s="33" t="inlineStr">
        <is>
          <t>1 · N3-4</t>
        </is>
      </c>
      <c r="C46" s="34" t="n"/>
      <c r="D46" s="35" t="inlineStr">
        <is>
          <t>Trả 401 / 403 dạng ApiError.</t>
        </is>
      </c>
      <c r="E46" s="34" t="n"/>
      <c r="F46" s="34" t="n"/>
      <c r="G46" s="34" t="n"/>
      <c r="H46" s="36" t="b">
        <v>0</v>
      </c>
      <c r="I46" s="37" t="n"/>
      <c r="J46" s="38" t="n"/>
      <c r="K46" s="38" t="n"/>
      <c r="L46" s="33" t="n">
        <v>1</v>
      </c>
    </row>
    <row r="47">
      <c r="A47" s="33" t="inlineStr">
        <is>
          <t>F4</t>
        </is>
      </c>
      <c r="B47" s="33" t="inlineStr">
        <is>
          <t>1 · N3-4</t>
        </is>
      </c>
      <c r="C47" s="34" t="n"/>
      <c r="D47" s="35" t="inlineStr">
        <is>
          <t>DevAuth (profile dev): header X-Dev-User-Id giả lập người dùng.</t>
        </is>
      </c>
      <c r="E47" s="34" t="n"/>
      <c r="F47" s="34" t="n"/>
      <c r="G47" s="34" t="n"/>
      <c r="H47" s="36" t="b">
        <v>0</v>
      </c>
      <c r="I47" s="37" t="n"/>
      <c r="J47" s="38" t="n"/>
      <c r="K47" s="38" t="n"/>
      <c r="L47" s="33" t="n">
        <v>1</v>
      </c>
    </row>
    <row r="48">
      <c r="A48" s="33" t="inlineStr">
        <is>
          <t>F4</t>
        </is>
      </c>
      <c r="B48" s="33" t="inlineStr">
        <is>
          <t>1 · N3-4</t>
        </is>
      </c>
      <c r="C48" s="34" t="n"/>
      <c r="D48" s="35" t="inlineStr">
        <is>
          <t>Tài khoản mustChangePassword chỉ gọi được API đổi mật khẩu.</t>
        </is>
      </c>
      <c r="E48" s="34" t="n"/>
      <c r="F48" s="34" t="n"/>
      <c r="G48" s="34" t="n"/>
      <c r="H48" s="36" t="b">
        <v>0</v>
      </c>
      <c r="I48" s="37" t="n"/>
      <c r="J48" s="38" t="n"/>
      <c r="K48" s="38" t="n"/>
      <c r="L48" s="33" t="n">
        <v>1</v>
      </c>
    </row>
    <row r="49">
      <c r="A49" s="33" t="inlineStr">
        <is>
          <t>F4</t>
        </is>
      </c>
      <c r="B49" s="33" t="inlineStr">
        <is>
          <t>1 · N3-4</t>
        </is>
      </c>
      <c r="C49" s="34" t="n"/>
      <c r="D49" s="39" t="inlineStr">
        <is>
          <t>✔ Kiểm tra: Không token → 401; X-Dev-User-Id: 8 gọi /api/admin/.. → 403; 1 → 200</t>
        </is>
      </c>
      <c r="E49" s="34" t="n"/>
      <c r="F49" s="34" t="n"/>
      <c r="G49" s="34" t="n"/>
      <c r="H49" s="36" t="b">
        <v>0</v>
      </c>
      <c r="I49" s="37" t="n"/>
      <c r="J49" s="38" t="n"/>
      <c r="K49" s="38" t="n"/>
      <c r="L49" s="33" t="n">
        <v>1</v>
      </c>
    </row>
    <row r="50">
      <c r="A50" s="30" t="inlineStr">
        <is>
          <t>F8</t>
        </is>
      </c>
      <c r="B50" s="30" t="inlineStr">
        <is>
          <t>1 · N4-5</t>
        </is>
      </c>
      <c r="C50" s="30" t="inlineStr">
        <is>
          <t>3 hàm dùng chung</t>
        </is>
      </c>
      <c r="D50" s="30" t="inlineStr"/>
      <c r="E50" s="30" t="inlineStr">
        <is>
          <t>F3</t>
        </is>
      </c>
      <c r="F50" s="30" t="inlineStr">
        <is>
          <t>3 service để TV2, TV4 gọi</t>
        </is>
      </c>
      <c r="G50" s="30" t="inlineStr">
        <is>
          <t>5</t>
        </is>
      </c>
      <c r="H50" s="31" t="n"/>
      <c r="I50" s="31" t="n"/>
      <c r="J50" s="31" t="n"/>
      <c r="K50" s="31" t="n"/>
      <c r="L50" s="32" t="n">
        <v>1</v>
      </c>
    </row>
    <row r="51">
      <c r="A51" s="33" t="inlineStr">
        <is>
          <t>F8</t>
        </is>
      </c>
      <c r="B51" s="33" t="inlineStr">
        <is>
          <t>1 · N4-5</t>
        </is>
      </c>
      <c r="C51" s="34" t="n"/>
      <c r="D51" s="35" t="inlineStr">
        <is>
          <t>StockService: reserve(batchId, qty, orderId) = UPDATE có điều kiện + ghi ORDERED, trả false nếu thiếu; release(...) ghi RETURNED; adjust(batchId, delta, reason) cho LISTED / ADDED / REMOVED; tự đổi AVAILABLE ⇄ SOLD_OUT.</t>
        </is>
      </c>
      <c r="E51" s="34" t="n"/>
      <c r="F51" s="34" t="n"/>
      <c r="G51" s="34" t="n"/>
      <c r="H51" s="36" t="b">
        <v>0</v>
      </c>
      <c r="I51" s="37" t="n"/>
      <c r="J51" s="38" t="n"/>
      <c r="K51" s="38" t="n"/>
      <c r="L51" s="33" t="n">
        <v>1</v>
      </c>
    </row>
    <row r="52">
      <c r="A52" s="33" t="inlineStr">
        <is>
          <t>F8</t>
        </is>
      </c>
      <c r="B52" s="33" t="inlineStr">
        <is>
          <t>1 · N4-5</t>
        </is>
      </c>
      <c r="C52" s="34" t="n"/>
      <c r="D52" s="35" t="inlineStr">
        <is>
          <t>AuditService.log(action, entityType, entityId, amount, detail).</t>
        </is>
      </c>
      <c r="E52" s="34" t="n"/>
      <c r="F52" s="34" t="n"/>
      <c r="G52" s="34" t="n"/>
      <c r="H52" s="36" t="b">
        <v>0</v>
      </c>
      <c r="I52" s="37" t="n"/>
      <c r="J52" s="38" t="n"/>
      <c r="K52" s="38" t="n"/>
      <c r="L52" s="33" t="n">
        <v>1</v>
      </c>
    </row>
    <row r="53">
      <c r="A53" s="33" t="inlineStr">
        <is>
          <t>F8</t>
        </is>
      </c>
      <c r="B53" s="33" t="inlineStr">
        <is>
          <t>1 · N4-5</t>
        </is>
      </c>
      <c r="C53" s="34" t="n"/>
      <c r="D53" s="35" t="inlineStr">
        <is>
          <t>RefundService.request(order, reason): đơn CANCELLED + REFUND_PENDING, trả kho, tạo refunds, ghi log.</t>
        </is>
      </c>
      <c r="E53" s="34" t="n"/>
      <c r="F53" s="34" t="n"/>
      <c r="G53" s="34" t="n"/>
      <c r="H53" s="36" t="b">
        <v>0</v>
      </c>
      <c r="I53" s="37" t="n"/>
      <c r="J53" s="38" t="n"/>
      <c r="K53" s="38" t="n"/>
      <c r="L53" s="33" t="n">
        <v>1</v>
      </c>
    </row>
    <row r="54">
      <c r="A54" s="33" t="inlineStr">
        <is>
          <t>F8</t>
        </is>
      </c>
      <c r="B54" s="33" t="inlineStr">
        <is>
          <t>1 · N4-5</t>
        </is>
      </c>
      <c r="C54" s="34" t="n"/>
      <c r="D54" s="35" t="inlineStr">
        <is>
          <t>Test tích hợp trên CSDL mẫu.</t>
        </is>
      </c>
      <c r="E54" s="34" t="n"/>
      <c r="F54" s="34" t="n"/>
      <c r="G54" s="34" t="n"/>
      <c r="H54" s="36" t="b">
        <v>0</v>
      </c>
      <c r="I54" s="37" t="n"/>
      <c r="J54" s="38" t="n"/>
      <c r="K54" s="38" t="n"/>
      <c r="L54" s="33" t="n">
        <v>1</v>
      </c>
    </row>
    <row r="55">
      <c r="A55" s="33" t="inlineStr">
        <is>
          <t>F8</t>
        </is>
      </c>
      <c r="B55" s="33" t="inlineStr">
        <is>
          <t>1 · N4-5</t>
        </is>
      </c>
      <c r="C55" s="34" t="n"/>
      <c r="D55" s="39" t="inlineStr">
        <is>
          <t>✔ Kiểm tra: Test: 10 luồng giữ túi còn 1 → đúng 1 thành công; C1b sạch; TC25</t>
        </is>
      </c>
      <c r="E55" s="34" t="n"/>
      <c r="F55" s="34" t="n"/>
      <c r="G55" s="34" t="n"/>
      <c r="H55" s="36" t="b">
        <v>0</v>
      </c>
      <c r="I55" s="37" t="n"/>
      <c r="J55" s="38" t="n"/>
      <c r="K55" s="38" t="n"/>
      <c r="L55" s="33" t="n">
        <v>1</v>
      </c>
    </row>
    <row r="56">
      <c r="A56" s="30" t="inlineStr">
        <is>
          <t>F6, F7</t>
        </is>
      </c>
      <c r="B56" s="30" t="inlineStr">
        <is>
          <t>1 · N5</t>
        </is>
      </c>
      <c r="C56" s="30" t="inlineStr">
        <is>
          <t>Lưu file, Postman</t>
        </is>
      </c>
      <c r="D56" s="30" t="inlineStr"/>
      <c r="E56" s="30" t="inlineStr">
        <is>
          <t>F2</t>
        </is>
      </c>
      <c r="F56" s="30" t="inlineStr">
        <is>
          <t>Upload được ảnh; collection chung</t>
        </is>
      </c>
      <c r="G56" s="30" t="inlineStr">
        <is>
          <t>5</t>
        </is>
      </c>
      <c r="H56" s="31" t="n"/>
      <c r="I56" s="31" t="n"/>
      <c r="J56" s="31" t="n"/>
      <c r="K56" s="31" t="n"/>
      <c r="L56" s="32" t="n">
        <v>1</v>
      </c>
    </row>
    <row r="57">
      <c r="A57" s="33" t="inlineStr">
        <is>
          <t>F6, F7</t>
        </is>
      </c>
      <c r="B57" s="33" t="inlineStr">
        <is>
          <t>1 · N5</t>
        </is>
      </c>
      <c r="C57" s="34" t="n"/>
      <c r="D57" s="35" t="inlineStr">
        <is>
          <t>FileStorageService.save(file): chỉ jpg/png ≤ 5 MB, lưu /uploads, trả URL; phục vụ /uploads/**.</t>
        </is>
      </c>
      <c r="E57" s="34" t="n"/>
      <c r="F57" s="34" t="n"/>
      <c r="G57" s="34" t="n"/>
      <c r="H57" s="36" t="b">
        <v>0</v>
      </c>
      <c r="I57" s="37" t="n"/>
      <c r="J57" s="38" t="n"/>
      <c r="K57" s="38" t="n"/>
      <c r="L57" s="33" t="n">
        <v>1</v>
      </c>
    </row>
    <row r="58">
      <c r="A58" s="33" t="inlineStr">
        <is>
          <t>F6, F7</t>
        </is>
      </c>
      <c r="B58" s="33" t="inlineStr">
        <is>
          <t>1 · N5</t>
        </is>
      </c>
      <c r="C58" s="34" t="n"/>
      <c r="D58" s="35" t="inlineStr">
        <is>
          <t>Postman collection + biến baseUrl, token, mỗi module một thư mục, lưu ở docs/postman.</t>
        </is>
      </c>
      <c r="E58" s="34" t="n"/>
      <c r="F58" s="34" t="n"/>
      <c r="G58" s="34" t="n"/>
      <c r="H58" s="36" t="b">
        <v>0</v>
      </c>
      <c r="I58" s="37" t="n"/>
      <c r="J58" s="38" t="n"/>
      <c r="K58" s="38" t="n"/>
      <c r="L58" s="33" t="n">
        <v>1</v>
      </c>
    </row>
    <row r="59">
      <c r="A59" s="33" t="inlineStr">
        <is>
          <t>F6, F7</t>
        </is>
      </c>
      <c r="B59" s="33" t="inlineStr">
        <is>
          <t>1 · N5</t>
        </is>
      </c>
      <c r="C59" s="34" t="n"/>
      <c r="D59" s="39" t="inlineStr">
        <is>
          <t>✔ Kiểm tra: Upload file .exe đổi đuôi .jpg bị từ chối</t>
        </is>
      </c>
      <c r="E59" s="34" t="n"/>
      <c r="F59" s="34" t="n"/>
      <c r="G59" s="34" t="n"/>
      <c r="H59" s="36" t="b">
        <v>0</v>
      </c>
      <c r="I59" s="37" t="n"/>
      <c r="J59" s="38" t="n"/>
      <c r="K59" s="38" t="n"/>
      <c r="L59" s="33" t="n">
        <v>1</v>
      </c>
    </row>
    <row r="60">
      <c r="A60" s="30" t="inlineStr">
        <is>
          <t>H1</t>
        </is>
      </c>
      <c r="B60" s="30" t="inlineStr">
        <is>
          <t>1 · N4-5</t>
        </is>
      </c>
      <c r="C60" s="30" t="inlineStr">
        <is>
          <t>Hợp đồng API</t>
        </is>
      </c>
      <c r="D60" s="30" t="inlineStr"/>
      <c r="E60" s="30" t="inlineStr">
        <is>
          <t>F4</t>
        </is>
      </c>
      <c r="F60" s="30" t="inlineStr">
        <is>
          <t>API hiện trên Swagger</t>
        </is>
      </c>
      <c r="G60" s="30" t="inlineStr">
        <is>
          <t>3</t>
        </is>
      </c>
      <c r="H60" s="31" t="n"/>
      <c r="I60" s="31" t="n"/>
      <c r="J60" s="31" t="n"/>
      <c r="K60" s="31" t="n"/>
      <c r="L60" s="32" t="n">
        <v>1</v>
      </c>
    </row>
    <row r="61">
      <c r="A61" s="33" t="inlineStr">
        <is>
          <t>H1</t>
        </is>
      </c>
      <c r="B61" s="33" t="inlineStr">
        <is>
          <t>1 · N4-5</t>
        </is>
      </c>
      <c r="C61" s="34" t="n"/>
      <c r="D61" s="35" t="inlineStr">
        <is>
          <t>Viết DTO (record) + controller trả dữ liệu giả cho /api/auth/login|register, /api/me, /api/admin/orders|refunds|payouts|finance|audit-logs, theo Quy ước chung mục 5.5. Mở PR nhãn api.</t>
        </is>
      </c>
      <c r="E61" s="34" t="n"/>
      <c r="F61" s="34" t="n"/>
      <c r="G61" s="34" t="n"/>
      <c r="H61" s="36" t="b">
        <v>0</v>
      </c>
      <c r="I61" s="37" t="n"/>
      <c r="J61" s="38" t="n"/>
      <c r="K61" s="38" t="n"/>
      <c r="L61" s="33" t="n">
        <v>1</v>
      </c>
    </row>
    <row r="62">
      <c r="A62" s="33" t="inlineStr">
        <is>
          <t>H1</t>
        </is>
      </c>
      <c r="B62" s="33" t="inlineStr">
        <is>
          <t>1 · N4-5</t>
        </is>
      </c>
      <c r="C62" s="34" t="n"/>
      <c r="D62" s="39" t="inlineStr">
        <is>
          <t>✔ Kiểm tra: Duyệt ở cổng G1</t>
        </is>
      </c>
      <c r="E62" s="34" t="n"/>
      <c r="F62" s="34" t="n"/>
      <c r="G62" s="34" t="n"/>
      <c r="H62" s="36" t="b">
        <v>0</v>
      </c>
      <c r="I62" s="37" t="n"/>
      <c r="J62" s="38" t="n"/>
      <c r="K62" s="38" t="n"/>
      <c r="L62" s="33" t="n">
        <v>1</v>
      </c>
    </row>
    <row r="63">
      <c r="A63" s="30" t="inlineStr">
        <is>
          <t>A1</t>
        </is>
      </c>
      <c r="B63" s="30" t="inlineStr">
        <is>
          <t>2</t>
        </is>
      </c>
      <c r="C63" s="30" t="inlineStr">
        <is>
          <t>API tài khoản</t>
        </is>
      </c>
      <c r="D63" s="30" t="inlineStr"/>
      <c r="E63" s="30" t="inlineStr">
        <is>
          <t>F4</t>
        </is>
      </c>
      <c r="F63" s="30" t="inlineStr">
        <is>
          <t>11 tài khoản mẫu đăng nhập được (mật khẩu 123456)</t>
        </is>
      </c>
      <c r="G63" s="30" t="inlineStr">
        <is>
          <t>6</t>
        </is>
      </c>
      <c r="H63" s="31" t="n"/>
      <c r="I63" s="31" t="n"/>
      <c r="J63" s="31" t="n"/>
      <c r="K63" s="31" t="n"/>
      <c r="L63" s="32" t="n">
        <v>2</v>
      </c>
    </row>
    <row r="64">
      <c r="A64" s="33" t="inlineStr">
        <is>
          <t>A1</t>
        </is>
      </c>
      <c r="B64" s="33" t="inlineStr">
        <is>
          <t>2</t>
        </is>
      </c>
      <c r="C64" s="34" t="n"/>
      <c r="D64" s="35" t="inlineStr">
        <is>
          <t>POST /api/auth/register (BCrypt, EMAIL_EXISTS).</t>
        </is>
      </c>
      <c r="E64" s="34" t="n"/>
      <c r="F64" s="34" t="n"/>
      <c r="G64" s="34" t="n"/>
      <c r="H64" s="36" t="b">
        <v>0</v>
      </c>
      <c r="I64" s="37" t="n"/>
      <c r="J64" s="38" t="n"/>
      <c r="K64" s="38" t="n"/>
      <c r="L64" s="33" t="n">
        <v>2</v>
      </c>
    </row>
    <row r="65">
      <c r="A65" s="33" t="inlineStr">
        <is>
          <t>A1</t>
        </is>
      </c>
      <c r="B65" s="33" t="inlineStr">
        <is>
          <t>2</t>
        </is>
      </c>
      <c r="C65" s="34" t="n"/>
      <c r="D65" s="35" t="inlineStr">
        <is>
          <t>POST /api/auth/login: chặn LOCKED, trả token + mustChangePassword + user.</t>
        </is>
      </c>
      <c r="E65" s="34" t="n"/>
      <c r="F65" s="34" t="n"/>
      <c r="G65" s="34" t="n"/>
      <c r="H65" s="36" t="b">
        <v>0</v>
      </c>
      <c r="I65" s="37" t="n"/>
      <c r="J65" s="38" t="n"/>
      <c r="K65" s="38" t="n"/>
      <c r="L65" s="33" t="n">
        <v>2</v>
      </c>
    </row>
    <row r="66">
      <c r="A66" s="33" t="inlineStr">
        <is>
          <t>A1</t>
        </is>
      </c>
      <c r="B66" s="33" t="inlineStr">
        <is>
          <t>2</t>
        </is>
      </c>
      <c r="C66" s="34" t="n"/>
      <c r="D66" s="35" t="inlineStr">
        <is>
          <t>GET/PUT /api/me.</t>
        </is>
      </c>
      <c r="E66" s="34" t="n"/>
      <c r="F66" s="34" t="n"/>
      <c r="G66" s="34" t="n"/>
      <c r="H66" s="36" t="b">
        <v>0</v>
      </c>
      <c r="I66" s="37" t="n"/>
      <c r="J66" s="38" t="n"/>
      <c r="K66" s="38" t="n"/>
      <c r="L66" s="33" t="n">
        <v>2</v>
      </c>
    </row>
    <row r="67">
      <c r="A67" s="33" t="inlineStr">
        <is>
          <t>A1</t>
        </is>
      </c>
      <c r="B67" s="33" t="inlineStr">
        <is>
          <t>2</t>
        </is>
      </c>
      <c r="C67" s="34" t="n"/>
      <c r="D67" s="35" t="inlineStr">
        <is>
          <t>PUT /api/me/password: kiểm tra mật khẩu cũ, tắt must_change_password.</t>
        </is>
      </c>
      <c r="E67" s="34" t="n"/>
      <c r="F67" s="34" t="n"/>
      <c r="G67" s="34" t="n"/>
      <c r="H67" s="36" t="b">
        <v>0</v>
      </c>
      <c r="I67" s="37" t="n"/>
      <c r="J67" s="38" t="n"/>
      <c r="K67" s="38" t="n"/>
      <c r="L67" s="33" t="n">
        <v>2</v>
      </c>
    </row>
    <row r="68">
      <c r="A68" s="33" t="inlineStr">
        <is>
          <t>A1</t>
        </is>
      </c>
      <c r="B68" s="33" t="inlineStr">
        <is>
          <t>2</t>
        </is>
      </c>
      <c r="C68" s="34" t="n"/>
      <c r="D68" s="39" t="inlineStr">
        <is>
          <t>✔ Kiểm tra: Postman thư mục Auth; một phần TC24</t>
        </is>
      </c>
      <c r="E68" s="34" t="n"/>
      <c r="F68" s="34" t="n"/>
      <c r="G68" s="34" t="n"/>
      <c r="H68" s="36" t="b">
        <v>0</v>
      </c>
      <c r="I68" s="37" t="n"/>
      <c r="J68" s="38" t="n"/>
      <c r="K68" s="38" t="n"/>
      <c r="L68" s="33" t="n">
        <v>2</v>
      </c>
    </row>
    <row r="69">
      <c r="A69" s="30" t="inlineStr">
        <is>
          <t>A2</t>
        </is>
      </c>
      <c r="B69" s="30" t="inlineStr">
        <is>
          <t>2</t>
        </is>
      </c>
      <c r="C69" s="30" t="inlineStr">
        <is>
          <t>Trang tài khoản</t>
        </is>
      </c>
      <c r="D69" s="30" t="inlineStr"/>
      <c r="E69" s="30" t="inlineStr">
        <is>
          <t>A1</t>
        </is>
      </c>
      <c r="F69" s="30" t="inlineStr">
        <is>
          <t>Cả nhóm bỏ DevAuth ở frontend, dùng đăng nhập thật</t>
        </is>
      </c>
      <c r="G69" s="30" t="inlineStr">
        <is>
          <t>6</t>
        </is>
      </c>
      <c r="H69" s="31" t="n"/>
      <c r="I69" s="31" t="n"/>
      <c r="J69" s="31" t="n"/>
      <c r="K69" s="31" t="n"/>
      <c r="L69" s="32" t="n">
        <v>2</v>
      </c>
    </row>
    <row r="70">
      <c r="A70" s="33" t="inlineStr">
        <is>
          <t>A2</t>
        </is>
      </c>
      <c r="B70" s="33" t="inlineStr">
        <is>
          <t>2</t>
        </is>
      </c>
      <c r="C70" s="34" t="n"/>
      <c r="D70" s="35" t="inlineStr">
        <is>
          <t>/login, /register: form theo Quy ước chung, lỗi hiện dưới ô nhập.</t>
        </is>
      </c>
      <c r="E70" s="34" t="n"/>
      <c r="F70" s="34" t="n"/>
      <c r="G70" s="34" t="n"/>
      <c r="H70" s="36" t="b">
        <v>0</v>
      </c>
      <c r="I70" s="37" t="n"/>
      <c r="J70" s="38" t="n"/>
      <c r="K70" s="38" t="n"/>
      <c r="L70" s="33" t="n">
        <v>2</v>
      </c>
    </row>
    <row r="71">
      <c r="A71" s="33" t="inlineStr">
        <is>
          <t>A2</t>
        </is>
      </c>
      <c r="B71" s="33" t="inlineStr">
        <is>
          <t>2</t>
        </is>
      </c>
      <c r="C71" s="34" t="n"/>
      <c r="D71" s="35" t="inlineStr">
        <is>
          <t>Sau đăng nhập về đúng khu theo vai trò.</t>
        </is>
      </c>
      <c r="E71" s="34" t="n"/>
      <c r="F71" s="34" t="n"/>
      <c r="G71" s="34" t="n"/>
      <c r="H71" s="36" t="b">
        <v>0</v>
      </c>
      <c r="I71" s="37" t="n"/>
      <c r="J71" s="38" t="n"/>
      <c r="K71" s="38" t="n"/>
      <c r="L71" s="33" t="n">
        <v>2</v>
      </c>
    </row>
    <row r="72">
      <c r="A72" s="33" t="inlineStr">
        <is>
          <t>A2</t>
        </is>
      </c>
      <c r="B72" s="33" t="inlineStr">
        <is>
          <t>2</t>
        </is>
      </c>
      <c r="C72" s="34" t="n"/>
      <c r="D72" s="35" t="inlineStr">
        <is>
          <t>/change-password bắt buộc khi có mật khẩu tạm.</t>
        </is>
      </c>
      <c r="E72" s="34" t="n"/>
      <c r="F72" s="34" t="n"/>
      <c r="G72" s="34" t="n"/>
      <c r="H72" s="36" t="b">
        <v>0</v>
      </c>
      <c r="I72" s="37" t="n"/>
      <c r="J72" s="38" t="n"/>
      <c r="K72" s="38" t="n"/>
      <c r="L72" s="33" t="n">
        <v>2</v>
      </c>
    </row>
    <row r="73">
      <c r="A73" s="33" t="inlineStr">
        <is>
          <t>A2</t>
        </is>
      </c>
      <c r="B73" s="33" t="inlineStr">
        <is>
          <t>2</t>
        </is>
      </c>
      <c r="C73" s="34" t="n"/>
      <c r="D73" s="35" t="inlineStr">
        <is>
          <t>/profile, nút đăng xuất trên 3 layout.</t>
        </is>
      </c>
      <c r="E73" s="34" t="n"/>
      <c r="F73" s="34" t="n"/>
      <c r="G73" s="34" t="n"/>
      <c r="H73" s="36" t="b">
        <v>0</v>
      </c>
      <c r="I73" s="37" t="n"/>
      <c r="J73" s="38" t="n"/>
      <c r="K73" s="38" t="n"/>
      <c r="L73" s="33" t="n">
        <v>2</v>
      </c>
    </row>
    <row r="74">
      <c r="A74" s="33" t="inlineStr">
        <is>
          <t>A2</t>
        </is>
      </c>
      <c r="B74" s="33" t="inlineStr">
        <is>
          <t>2</t>
        </is>
      </c>
      <c r="C74" s="34" t="n"/>
      <c r="D74" s="39" t="inlineStr">
        <is>
          <t>✔ Kiểm tra: Đăng nhập 4 vai trò vào đúng khu</t>
        </is>
      </c>
      <c r="E74" s="34" t="n"/>
      <c r="F74" s="34" t="n"/>
      <c r="G74" s="34" t="n"/>
      <c r="H74" s="36" t="b">
        <v>0</v>
      </c>
      <c r="I74" s="37" t="n"/>
      <c r="J74" s="38" t="n"/>
      <c r="K74" s="38" t="n"/>
      <c r="L74" s="33" t="n">
        <v>2</v>
      </c>
    </row>
    <row r="75">
      <c r="A75" s="30" t="inlineStr">
        <is>
          <t>A5</t>
        </is>
      </c>
      <c r="B75" s="30" t="inlineStr">
        <is>
          <t>3-4</t>
        </is>
      </c>
      <c r="C75" s="30" t="inlineStr">
        <is>
          <t>Admin đơn hàng, hoàn tiền</t>
        </is>
      </c>
      <c r="D75" s="30" t="inlineStr"/>
      <c r="E75" s="30" t="inlineStr">
        <is>
          <t>F8, seed</t>
        </is>
      </c>
      <c r="F75" s="30" t="inlineStr">
        <is>
          <t>Admin xử lý được đơn và hoàn tiền</t>
        </is>
      </c>
      <c r="G75" s="30" t="inlineStr">
        <is>
          <t>10</t>
        </is>
      </c>
      <c r="H75" s="31" t="n"/>
      <c r="I75" s="31" t="n"/>
      <c r="J75" s="31" t="n"/>
      <c r="K75" s="31" t="n"/>
      <c r="L75" s="32" t="n">
        <v>3</v>
      </c>
    </row>
    <row r="76">
      <c r="A76" s="33" t="inlineStr">
        <is>
          <t>A5</t>
        </is>
      </c>
      <c r="B76" s="33" t="inlineStr">
        <is>
          <t>3-4</t>
        </is>
      </c>
      <c r="C76" s="34" t="n"/>
      <c r="D76" s="35" t="inlineStr">
        <is>
          <t>GET /api/admin/orders lọc trạng thái, tìm mã; chi tiết kèm lịch sử tiền (thanh toán, hoàn, kỳ chi trả, nhật ký).</t>
        </is>
      </c>
      <c r="E76" s="34" t="n"/>
      <c r="F76" s="34" t="n"/>
      <c r="G76" s="34" t="n"/>
      <c r="H76" s="36" t="b">
        <v>0</v>
      </c>
      <c r="I76" s="37" t="n"/>
      <c r="J76" s="38" t="n"/>
      <c r="K76" s="38" t="n"/>
      <c r="L76" s="33" t="n">
        <v>3</v>
      </c>
    </row>
    <row r="77">
      <c r="A77" s="33" t="inlineStr">
        <is>
          <t>A5</t>
        </is>
      </c>
      <c r="B77" s="33" t="inlineStr">
        <is>
          <t>3-4</t>
        </is>
      </c>
      <c r="C77" s="34" t="n"/>
      <c r="D77" s="35" t="inlineStr">
        <is>
          <t>POST /api/admin/orders/{id}/cancel gọi RefundService; chặn đơn COMPLETED / NO_SHOW.</t>
        </is>
      </c>
      <c r="E77" s="34" t="n"/>
      <c r="F77" s="34" t="n"/>
      <c r="G77" s="34" t="n"/>
      <c r="H77" s="36" t="b">
        <v>0</v>
      </c>
      <c r="I77" s="37" t="n"/>
      <c r="J77" s="38" t="n"/>
      <c r="K77" s="38" t="n"/>
      <c r="L77" s="33" t="n">
        <v>3</v>
      </c>
    </row>
    <row r="78">
      <c r="A78" s="33" t="inlineStr">
        <is>
          <t>A5</t>
        </is>
      </c>
      <c r="B78" s="33" t="inlineStr">
        <is>
          <t>3-4</t>
        </is>
      </c>
      <c r="C78" s="34" t="n"/>
      <c r="D78" s="35" t="inlineStr">
        <is>
          <t>GET /api/admin/refunds, POST .../{id}/complete bắt buộc gatewayRef.</t>
        </is>
      </c>
      <c r="E78" s="34" t="n"/>
      <c r="F78" s="34" t="n"/>
      <c r="G78" s="34" t="n"/>
      <c r="H78" s="36" t="b">
        <v>0</v>
      </c>
      <c r="I78" s="37" t="n"/>
      <c r="J78" s="38" t="n"/>
      <c r="K78" s="38" t="n"/>
      <c r="L78" s="33" t="n">
        <v>3</v>
      </c>
    </row>
    <row r="79">
      <c r="A79" s="33" t="inlineStr">
        <is>
          <t>A5</t>
        </is>
      </c>
      <c r="B79" s="33" t="inlineStr">
        <is>
          <t>3-4</t>
        </is>
      </c>
      <c r="C79" s="34" t="n"/>
      <c r="D79" s="35" t="inlineStr">
        <is>
          <t>Trang /admin/orders, /admin/refunds.</t>
        </is>
      </c>
      <c r="E79" s="34" t="n"/>
      <c r="F79" s="34" t="n"/>
      <c r="G79" s="34" t="n"/>
      <c r="H79" s="36" t="b">
        <v>0</v>
      </c>
      <c r="I79" s="37" t="n"/>
      <c r="J79" s="38" t="n"/>
      <c r="K79" s="38" t="n"/>
      <c r="L79" s="33" t="n">
        <v>3</v>
      </c>
    </row>
    <row r="80">
      <c r="A80" s="33" t="inlineStr">
        <is>
          <t>A5</t>
        </is>
      </c>
      <c r="B80" s="33" t="inlineStr">
        <is>
          <t>3-4</t>
        </is>
      </c>
      <c r="C80" s="34" t="n"/>
      <c r="D80" s="39" t="inlineStr">
        <is>
          <t>✔ Kiểm tra: TC10 (phần admin), TC15; C6 sạch</t>
        </is>
      </c>
      <c r="E80" s="34" t="n"/>
      <c r="F80" s="34" t="n"/>
      <c r="G80" s="34" t="n"/>
      <c r="H80" s="36" t="b">
        <v>0</v>
      </c>
      <c r="I80" s="37" t="n"/>
      <c r="J80" s="38" t="n"/>
      <c r="K80" s="38" t="n"/>
      <c r="L80" s="33" t="n">
        <v>3</v>
      </c>
    </row>
    <row r="81">
      <c r="A81" s="30" t="inlineStr">
        <is>
          <t>A9</t>
        </is>
      </c>
      <c r="B81" s="30" t="inlineStr">
        <is>
          <t>5</t>
        </is>
      </c>
      <c r="C81" s="30" t="inlineStr">
        <is>
          <t>Trang nhật ký</t>
        </is>
      </c>
      <c r="D81" s="30" t="inlineStr"/>
      <c r="E81" s="30" t="inlineStr">
        <is>
          <t>F8</t>
        </is>
      </c>
      <c r="F81" s="30" t="inlineStr">
        <is>
          <t>Thấy toàn bộ thao tác tiền và quản trị</t>
        </is>
      </c>
      <c r="G81" s="30" t="inlineStr">
        <is>
          <t>3</t>
        </is>
      </c>
      <c r="H81" s="31" t="n"/>
      <c r="I81" s="31" t="n"/>
      <c r="J81" s="31" t="n"/>
      <c r="K81" s="31" t="n"/>
      <c r="L81" s="32" t="n">
        <v>5</v>
      </c>
    </row>
    <row r="82">
      <c r="A82" s="33" t="inlineStr">
        <is>
          <t>A9</t>
        </is>
      </c>
      <c r="B82" s="33" t="inlineStr">
        <is>
          <t>5</t>
        </is>
      </c>
      <c r="C82" s="34" t="n"/>
      <c r="D82" s="35" t="inlineStr">
        <is>
          <t>GET /api/admin/audit-logs lọc hành động, loại, người, ngày, phân trang.</t>
        </is>
      </c>
      <c r="E82" s="34" t="n"/>
      <c r="F82" s="34" t="n"/>
      <c r="G82" s="34" t="n"/>
      <c r="H82" s="36" t="b">
        <v>0</v>
      </c>
      <c r="I82" s="37" t="n"/>
      <c r="J82" s="38" t="n"/>
      <c r="K82" s="38" t="n"/>
      <c r="L82" s="33" t="n">
        <v>5</v>
      </c>
    </row>
    <row r="83">
      <c r="A83" s="33" t="inlineStr">
        <is>
          <t>A9</t>
        </is>
      </c>
      <c r="B83" s="33" t="inlineStr">
        <is>
          <t>5</t>
        </is>
      </c>
      <c r="C83" s="34" t="n"/>
      <c r="D83" s="35" t="inlineStr">
        <is>
          <t>Trang /admin/audit-logs; bấm dòng để mở đơn / kỳ chi trả / cửa hàng.</t>
        </is>
      </c>
      <c r="E83" s="34" t="n"/>
      <c r="F83" s="34" t="n"/>
      <c r="G83" s="34" t="n"/>
      <c r="H83" s="36" t="b">
        <v>0</v>
      </c>
      <c r="I83" s="37" t="n"/>
      <c r="J83" s="38" t="n"/>
      <c r="K83" s="38" t="n"/>
      <c r="L83" s="33" t="n">
        <v>5</v>
      </c>
    </row>
    <row r="84">
      <c r="A84" s="33" t="inlineStr">
        <is>
          <t>A9</t>
        </is>
      </c>
      <c r="B84" s="33" t="inlineStr">
        <is>
          <t>5</t>
        </is>
      </c>
      <c r="C84" s="34" t="n"/>
      <c r="D84" s="39" t="inlineStr">
        <is>
          <t>✔ Kiểm tra: Các thao tác ở G2-G3 đều có dòng log; C12 sạch</t>
        </is>
      </c>
      <c r="E84" s="34" t="n"/>
      <c r="F84" s="34" t="n"/>
      <c r="G84" s="34" t="n"/>
      <c r="H84" s="36" t="b">
        <v>0</v>
      </c>
      <c r="I84" s="37" t="n"/>
      <c r="J84" s="38" t="n"/>
      <c r="K84" s="38" t="n"/>
      <c r="L84" s="33" t="n">
        <v>5</v>
      </c>
    </row>
    <row r="85">
      <c r="A85" s="30" t="inlineStr">
        <is>
          <t>A6</t>
        </is>
      </c>
      <c r="B85" s="30" t="inlineStr">
        <is>
          <t>6</t>
        </is>
      </c>
      <c r="C85" s="30" t="inlineStr">
        <is>
          <t>Chi trả theo kỳ</t>
        </is>
      </c>
      <c r="D85" s="30" t="inlineStr"/>
      <c r="E85" s="30" t="inlineStr">
        <is>
          <t>seed</t>
        </is>
      </c>
      <c r="F85" s="30" t="inlineStr">
        <is>
          <t>Admin chi trả trọn vòng; TV2 dùng được hàm</t>
        </is>
      </c>
      <c r="G85" s="30" t="inlineStr">
        <is>
          <t>10</t>
        </is>
      </c>
      <c r="H85" s="31" t="n"/>
      <c r="I85" s="31" t="n"/>
      <c r="J85" s="31" t="n"/>
      <c r="K85" s="31" t="n"/>
      <c r="L85" s="32" t="n">
        <v>6</v>
      </c>
    </row>
    <row r="86">
      <c r="A86" s="33" t="inlineStr">
        <is>
          <t>A6</t>
        </is>
      </c>
      <c r="B86" s="33" t="inlineStr">
        <is>
          <t>6</t>
        </is>
      </c>
      <c r="C86" s="34" t="n"/>
      <c r="D86" s="35" t="inlineStr">
        <is>
          <t>unpaid-summary, preview?storeId&amp;from&amp;to.</t>
        </is>
      </c>
      <c r="E86" s="34" t="n"/>
      <c r="F86" s="34" t="n"/>
      <c r="G86" s="34" t="n"/>
      <c r="H86" s="36" t="b">
        <v>0</v>
      </c>
      <c r="I86" s="37" t="n"/>
      <c r="J86" s="38" t="n"/>
      <c r="K86" s="38" t="n"/>
      <c r="L86" s="33" t="n">
        <v>6</v>
      </c>
    </row>
    <row r="87">
      <c r="A87" s="33" t="inlineStr">
        <is>
          <t>A6</t>
        </is>
      </c>
      <c r="B87" s="33" t="inlineStr">
        <is>
          <t>6</t>
        </is>
      </c>
      <c r="C87" s="34" t="n"/>
      <c r="D87" s="35" t="inlineStr">
        <is>
          <t>POST /api/admin/payouts: 1 transaction, gắn đơn bằng UPDATE ... WHERE payout_id IS NULL, chụp tài khoản ngân hàng, PAYOUT_PENDING_EXISTS.</t>
        </is>
      </c>
      <c r="E87" s="34" t="n"/>
      <c r="F87" s="34" t="n"/>
      <c r="G87" s="34" t="n"/>
      <c r="H87" s="36" t="b">
        <v>0</v>
      </c>
      <c r="I87" s="37" t="n"/>
      <c r="J87" s="38" t="n"/>
      <c r="K87" s="38" t="n"/>
      <c r="L87" s="33" t="n">
        <v>6</v>
      </c>
    </row>
    <row r="88">
      <c r="A88" s="33" t="inlineStr">
        <is>
          <t>A6</t>
        </is>
      </c>
      <c r="B88" s="33" t="inlineStr">
        <is>
          <t>6</t>
        </is>
      </c>
      <c r="C88" s="34" t="n"/>
      <c r="D88" s="35" t="inlineStr">
        <is>
          <t>/paid bắt buộc transferRef; /cancel gỡ đơn.</t>
        </is>
      </c>
      <c r="E88" s="34" t="n"/>
      <c r="F88" s="34" t="n"/>
      <c r="G88" s="34" t="n"/>
      <c r="H88" s="36" t="b">
        <v>0</v>
      </c>
      <c r="I88" s="37" t="n"/>
      <c r="J88" s="38" t="n"/>
      <c r="K88" s="38" t="n"/>
      <c r="L88" s="33" t="n">
        <v>6</v>
      </c>
    </row>
    <row r="89">
      <c r="A89" s="33" t="inlineStr">
        <is>
          <t>A6</t>
        </is>
      </c>
      <c r="B89" s="33" t="inlineStr">
        <is>
          <t>6</t>
        </is>
      </c>
      <c r="C89" s="34" t="n"/>
      <c r="D89" s="35" t="inlineStr">
        <is>
          <t>Tách PayoutService.createForStore() cho TV2.</t>
        </is>
      </c>
      <c r="E89" s="34" t="n"/>
      <c r="F89" s="34" t="n"/>
      <c r="G89" s="34" t="n"/>
      <c r="H89" s="36" t="b">
        <v>0</v>
      </c>
      <c r="I89" s="37" t="n"/>
      <c r="J89" s="38" t="n"/>
      <c r="K89" s="38" t="n"/>
      <c r="L89" s="33" t="n">
        <v>6</v>
      </c>
    </row>
    <row r="90">
      <c r="A90" s="33" t="inlineStr">
        <is>
          <t>A6</t>
        </is>
      </c>
      <c r="B90" s="33" t="inlineStr">
        <is>
          <t>6</t>
        </is>
      </c>
      <c r="C90" s="34" t="n"/>
      <c r="D90" s="35" t="inlineStr">
        <is>
          <t>Trang /admin/payouts.</t>
        </is>
      </c>
      <c r="E90" s="34" t="n"/>
      <c r="F90" s="34" t="n"/>
      <c r="G90" s="34" t="n"/>
      <c r="H90" s="36" t="b">
        <v>0</v>
      </c>
      <c r="I90" s="37" t="n"/>
      <c r="J90" s="38" t="n"/>
      <c r="K90" s="38" t="n"/>
      <c r="L90" s="33" t="n">
        <v>6</v>
      </c>
    </row>
    <row r="91">
      <c r="A91" s="33" t="inlineStr">
        <is>
          <t>A6</t>
        </is>
      </c>
      <c r="B91" s="33" t="inlineStr">
        <is>
          <t>6</t>
        </is>
      </c>
      <c r="C91" s="34" t="n"/>
      <c r="D91" s="39" t="inlineStr">
        <is>
          <t>✔ Kiểm tra: TC13, TC14; C7, C8, C9 sạch</t>
        </is>
      </c>
      <c r="E91" s="34" t="n"/>
      <c r="F91" s="34" t="n"/>
      <c r="G91" s="34" t="n"/>
      <c r="H91" s="36" t="b">
        <v>0</v>
      </c>
      <c r="I91" s="37" t="n"/>
      <c r="J91" s="38" t="n"/>
      <c r="K91" s="38" t="n"/>
      <c r="L91" s="33" t="n">
        <v>6</v>
      </c>
    </row>
    <row r="92">
      <c r="A92" s="30" t="inlineStr">
        <is>
          <t>A7</t>
        </is>
      </c>
      <c r="B92" s="30" t="inlineStr">
        <is>
          <t>7</t>
        </is>
      </c>
      <c r="C92" s="30" t="inlineStr">
        <is>
          <t>Đối soát</t>
        </is>
      </c>
      <c r="D92" s="30" t="inlineStr"/>
      <c r="E92" s="30" t="inlineStr">
        <is>
          <t>A6</t>
        </is>
      </c>
      <c r="F92" s="30" t="inlineStr">
        <is>
          <t>Trang đối soát</t>
        </is>
      </c>
      <c r="G92" s="30" t="inlineStr">
        <is>
          <t>6</t>
        </is>
      </c>
      <c r="H92" s="31" t="n"/>
      <c r="I92" s="31" t="n"/>
      <c r="J92" s="31" t="n"/>
      <c r="K92" s="31" t="n"/>
      <c r="L92" s="32" t="n">
        <v>7</v>
      </c>
    </row>
    <row r="93">
      <c r="A93" s="33" t="inlineStr">
        <is>
          <t>A7</t>
        </is>
      </c>
      <c r="B93" s="33" t="inlineStr">
        <is>
          <t>7</t>
        </is>
      </c>
      <c r="C93" s="34" t="n"/>
      <c r="D93" s="35" t="inlineStr">
        <is>
          <t>GET /api/admin/finance/reconciliation: 7 khoản tiền theo mục 5.7 tài liệu dự án + chênh lệch + bảng theo cửa hàng.</t>
        </is>
      </c>
      <c r="E93" s="34" t="n"/>
      <c r="F93" s="34" t="n"/>
      <c r="G93" s="34" t="n"/>
      <c r="H93" s="36" t="b">
        <v>0</v>
      </c>
      <c r="I93" s="37" t="n"/>
      <c r="J93" s="38" t="n"/>
      <c r="K93" s="38" t="n"/>
      <c r="L93" s="33" t="n">
        <v>7</v>
      </c>
    </row>
    <row r="94">
      <c r="A94" s="33" t="inlineStr">
        <is>
          <t>A7</t>
        </is>
      </c>
      <c r="B94" s="33" t="inlineStr">
        <is>
          <t>7</t>
        </is>
      </c>
      <c r="C94" s="34" t="n"/>
      <c r="D94" s="35" t="inlineStr">
        <is>
          <t>Trang /admin/finance: chênh lệch khác 0 thì tô đỏ.</t>
        </is>
      </c>
      <c r="E94" s="34" t="n"/>
      <c r="F94" s="34" t="n"/>
      <c r="G94" s="34" t="n"/>
      <c r="H94" s="36" t="b">
        <v>0</v>
      </c>
      <c r="I94" s="37" t="n"/>
      <c r="J94" s="38" t="n"/>
      <c r="K94" s="38" t="n"/>
      <c r="L94" s="33" t="n">
        <v>7</v>
      </c>
    </row>
    <row r="95">
      <c r="A95" s="33" t="inlineStr">
        <is>
          <t>A7</t>
        </is>
      </c>
      <c r="B95" s="33" t="inlineStr">
        <is>
          <t>7</t>
        </is>
      </c>
      <c r="C95" s="34" t="n"/>
      <c r="D95" s="39" t="inlineStr">
        <is>
          <t>✔ Kiểm tra: TC16; số liệu trùng câu C0</t>
        </is>
      </c>
      <c r="E95" s="34" t="n"/>
      <c r="F95" s="34" t="n"/>
      <c r="G95" s="34" t="n"/>
      <c r="H95" s="36" t="b">
        <v>0</v>
      </c>
      <c r="I95" s="37" t="n"/>
      <c r="J95" s="38" t="n"/>
      <c r="K95" s="38" t="n"/>
      <c r="L95" s="33" t="n">
        <v>7</v>
      </c>
    </row>
    <row r="96">
      <c r="A96" s="30" t="inlineStr">
        <is>
          <t>A8</t>
        </is>
      </c>
      <c r="B96" s="30" t="inlineStr">
        <is>
          <t>8</t>
        </is>
      </c>
      <c r="C96" s="30" t="inlineStr">
        <is>
          <t>Phát hành, báo cáo</t>
        </is>
      </c>
      <c r="D96" s="30" t="inlineStr"/>
      <c r="E96" s="30" t="inlineStr">
        <is>
          <t>tất cả</t>
        </is>
      </c>
      <c r="F96" s="30" t="inlineStr">
        <is>
          <t>Bản cuối, báo cáo, slide</t>
        </is>
      </c>
      <c r="G96" s="30" t="inlineStr">
        <is>
          <t>8</t>
        </is>
      </c>
      <c r="H96" s="31" t="n"/>
      <c r="I96" s="31" t="n"/>
      <c r="J96" s="31" t="n"/>
      <c r="K96" s="31" t="n"/>
      <c r="L96" s="32" t="n">
        <v>8</v>
      </c>
    </row>
    <row r="97">
      <c r="A97" s="33" t="inlineStr">
        <is>
          <t>A8</t>
        </is>
      </c>
      <c r="B97" s="33" t="inlineStr">
        <is>
          <t>8</t>
        </is>
      </c>
      <c r="C97" s="34" t="n"/>
      <c r="D97" s="35" t="inlineStr">
        <is>
          <t>Merge develop → main, tag v1.0.</t>
        </is>
      </c>
      <c r="E97" s="34" t="n"/>
      <c r="F97" s="34" t="n"/>
      <c r="G97" s="34" t="n"/>
      <c r="H97" s="36" t="b">
        <v>0</v>
      </c>
      <c r="I97" s="37" t="n"/>
      <c r="J97" s="38" t="n"/>
      <c r="K97" s="38" t="n"/>
      <c r="L97" s="33" t="n">
        <v>8</v>
      </c>
    </row>
    <row r="98">
      <c r="A98" s="33" t="inlineStr">
        <is>
          <t>A8</t>
        </is>
      </c>
      <c r="B98" s="33" t="inlineStr">
        <is>
          <t>8</t>
        </is>
      </c>
      <c r="C98" s="34" t="n"/>
      <c r="D98" s="35" t="inlineStr">
        <is>
          <t>(Tuỳ chọn) deploy frontend Vercel, backend Render, MySQL cloud.</t>
        </is>
      </c>
      <c r="E98" s="34" t="n"/>
      <c r="F98" s="34" t="n"/>
      <c r="G98" s="34" t="n"/>
      <c r="H98" s="36" t="b">
        <v>0</v>
      </c>
      <c r="I98" s="37" t="n"/>
      <c r="J98" s="38" t="n"/>
      <c r="K98" s="38" t="n"/>
      <c r="L98" s="33" t="n">
        <v>8</v>
      </c>
    </row>
    <row r="99">
      <c r="A99" s="33" t="inlineStr">
        <is>
          <t>A8</t>
        </is>
      </c>
      <c r="B99" s="33" t="inlineStr">
        <is>
          <t>8</t>
        </is>
      </c>
      <c r="C99" s="34" t="n"/>
      <c r="D99" s="35" t="inlineStr">
        <is>
          <t>Ghép báo cáo, slide.</t>
        </is>
      </c>
      <c r="E99" s="34" t="n"/>
      <c r="F99" s="34" t="n"/>
      <c r="G99" s="34" t="n"/>
      <c r="H99" s="36" t="b">
        <v>0</v>
      </c>
      <c r="I99" s="37" t="n"/>
      <c r="J99" s="38" t="n"/>
      <c r="K99" s="38" t="n"/>
      <c r="L99" s="33" t="n">
        <v>8</v>
      </c>
    </row>
    <row r="100">
      <c r="A100" s="33" t="inlineStr">
        <is>
          <t>A8</t>
        </is>
      </c>
      <c r="B100" s="33" t="inlineStr">
        <is>
          <t>8</t>
        </is>
      </c>
      <c r="C100" s="34" t="n"/>
      <c r="D100" s="39" t="inlineStr">
        <is>
          <t>✔ Kiểm tra: Tập demo 2 lần</t>
        </is>
      </c>
      <c r="E100" s="34" t="n"/>
      <c r="F100" s="34" t="n"/>
      <c r="G100" s="34" t="n"/>
      <c r="H100" s="36" t="b">
        <v>0</v>
      </c>
      <c r="I100" s="37" t="n"/>
      <c r="J100" s="38" t="n"/>
      <c r="K100" s="38" t="n"/>
      <c r="L100" s="33" t="n">
        <v>8</v>
      </c>
    </row>
    <row r="101">
      <c r="A101" s="30" t="inlineStr">
        <is>
          <t>—</t>
        </is>
      </c>
      <c r="B101" s="30" t="inlineStr">
        <is>
          <t>1-8</t>
        </is>
      </c>
      <c r="C101" s="30" t="inlineStr">
        <is>
          <t>Việc nhóm trưởng</t>
        </is>
      </c>
      <c r="D101" s="30" t="inlineStr"/>
      <c r="E101" s="30" t="inlineStr">
        <is>
          <t>—</t>
        </is>
      </c>
      <c r="F101" s="30" t="inlineStr">
        <is>
          <t>Biên bản họp mỗi tuần</t>
        </is>
      </c>
      <c r="G101" s="30" t="inlineStr">
        <is>
          <t>8</t>
        </is>
      </c>
      <c r="H101" s="31" t="n"/>
      <c r="I101" s="31" t="n"/>
      <c r="J101" s="31" t="n"/>
      <c r="K101" s="31" t="n"/>
      <c r="L101" s="32" t="n">
        <v>1</v>
      </c>
    </row>
    <row r="102">
      <c r="A102" s="33" t="inlineStr">
        <is>
          <t>—</t>
        </is>
      </c>
      <c r="B102" s="33" t="inlineStr">
        <is>
          <t>1-8</t>
        </is>
      </c>
      <c r="C102" s="34" t="n"/>
      <c r="D102" s="35" t="inlineStr">
        <is>
          <t>Chủ trì họp đầu / cuối tuần và các cổng; review PR của TV2; theo dõi bảng Projects; gắn tag ở mỗi cổng; duyệt mọi PR shared-change.</t>
        </is>
      </c>
      <c r="E102" s="34" t="n"/>
      <c r="F102" s="34" t="n"/>
      <c r="G102" s="34" t="n"/>
      <c r="H102" s="36" t="b">
        <v>0</v>
      </c>
      <c r="I102" s="37" t="n"/>
      <c r="J102" s="38" t="n"/>
      <c r="K102" s="38" t="n"/>
      <c r="L102" s="33" t="n">
        <v>1</v>
      </c>
    </row>
  </sheetData>
  <autoFilter ref="A5:L102"/>
  <mergeCells count="2">
    <mergeCell ref="H2:I2"/>
    <mergeCell ref="B2:D2"/>
  </mergeCells>
  <conditionalFormatting sqref="A6:K102">
    <cfRule type="expression" priority="1" dxfId="1">
      <formula>$H6=TRUE</formula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D9731A"/>
    <outlinePr summaryBelow="1" summaryRight="1"/>
    <pageSetUpPr/>
  </sheetPr>
  <dimension ref="A1:L7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70" customWidth="1" min="4" max="4"/>
    <col width="12" customWidth="1" min="5" max="5"/>
    <col width="46" customWidth="1" min="6" max="6"/>
    <col width="6" customWidth="1" min="7" max="7"/>
    <col width="7" customWidth="1" min="8" max="8"/>
    <col width="12" customWidth="1" min="9" max="9"/>
    <col width="22" customWidth="1" min="10" max="10"/>
    <col width="22" customWidth="1" min="11" max="11"/>
    <col width="7" customWidth="1" min="12" max="12"/>
  </cols>
  <sheetData>
    <row r="1">
      <c r="A1" s="40" t="inlineStr">
        <is>
          <t>Checklist TV2 · Cửa hàng, Túi, Kho</t>
        </is>
      </c>
    </row>
    <row r="2">
      <c r="A2" s="24" t="inlineStr">
        <is>
          <t>Thành viên:</t>
        </is>
      </c>
      <c r="B2" s="25" t="n"/>
      <c r="F2" s="26" t="inlineStr">
        <is>
          <t>Tiến độ:</t>
        </is>
      </c>
      <c r="G2" s="41">
        <f>IFERROR(COUNTIF($H$6:$H$77,TRUE)/(COUNTIF($H$6:$H$77,TRUE)+COUNTIF($H$6:$H$77,FALSE)),0)</f>
        <v/>
      </c>
      <c r="H2" s="28">
        <f>COUNTIF($H$6:$H$77,TRUE)&amp;"/"&amp;(COUNTIF($H$6:$H$77,TRUE)+COUNTIF($H$6:$H$77,FALSE))&amp;" bước"</f>
        <v/>
      </c>
    </row>
    <row r="3">
      <c r="A3" s="6" t="inlineStr">
        <is>
          <t>Tick cột "Xong" khi làm xong từng bước. Ô vàng là ô được sửa. Xem sheet "Hướng dẫn".</t>
        </is>
      </c>
    </row>
    <row r="5">
      <c r="A5" s="42" t="inlineStr">
        <is>
          <t>Mã</t>
        </is>
      </c>
      <c r="B5" s="42" t="inlineStr">
        <is>
          <t>Tuần</t>
        </is>
      </c>
      <c r="C5" s="42" t="inlineStr">
        <is>
          <t>Việc</t>
        </is>
      </c>
      <c r="D5" s="42" t="inlineStr">
        <is>
          <t>Bước cần làm</t>
        </is>
      </c>
      <c r="E5" s="42" t="inlineStr">
        <is>
          <t>Cần có trước</t>
        </is>
      </c>
      <c r="F5" s="42" t="inlineStr">
        <is>
          <t>Kết quả bàn giao / cách kiểm tra</t>
        </is>
      </c>
      <c r="G5" s="42" t="inlineStr">
        <is>
          <t>Giờ</t>
        </is>
      </c>
      <c r="H5" s="42" t="inlineStr">
        <is>
          <t>Xong</t>
        </is>
      </c>
      <c r="I5" s="42" t="inlineStr">
        <is>
          <t>Ngày xong</t>
        </is>
      </c>
      <c r="J5" s="42" t="inlineStr">
        <is>
          <t>Link PR</t>
        </is>
      </c>
      <c r="K5" s="42" t="inlineStr">
        <is>
          <t>Ghi chú</t>
        </is>
      </c>
      <c r="L5" s="42" t="inlineStr">
        <is>
          <t>Tuần số</t>
        </is>
      </c>
    </row>
    <row r="6">
      <c r="A6" s="43" t="inlineStr">
        <is>
          <t>C0</t>
        </is>
      </c>
      <c r="B6" s="43" t="inlineStr">
        <is>
          <t>1 · N1-2</t>
        </is>
      </c>
      <c r="C6" s="43" t="inlineStr">
        <is>
          <t>Chuẩn bị máy (cả nhóm)</t>
        </is>
      </c>
      <c r="D6" s="43" t="inlineStr"/>
      <c r="E6" s="43" t="inlineStr">
        <is>
          <t>—</t>
        </is>
      </c>
      <c r="F6" s="43" t="inlineStr">
        <is>
          <t>Máy chạy được CSDL, backend, frontend</t>
        </is>
      </c>
      <c r="G6" s="43" t="inlineStr">
        <is>
          <t>2</t>
        </is>
      </c>
      <c r="H6" s="44" t="n"/>
      <c r="I6" s="44" t="n"/>
      <c r="J6" s="44" t="n"/>
      <c r="K6" s="44" t="n"/>
      <c r="L6" s="45" t="n">
        <v>1</v>
      </c>
    </row>
    <row r="7">
      <c r="A7" s="33" t="inlineStr">
        <is>
          <t>C0</t>
        </is>
      </c>
      <c r="B7" s="33" t="inlineStr">
        <is>
          <t>1 · N1-2</t>
        </is>
      </c>
      <c r="C7" s="34" t="n"/>
      <c r="D7" s="35" t="inlineStr">
        <is>
          <t>Cài JDK 17+, Maven, Node.js 22, Git, XAMPP, VS Code + extension (Java, Spring Boot, Prettier, EditorConfig)</t>
        </is>
      </c>
      <c r="E7" s="34" t="n"/>
      <c r="F7" s="34" t="n"/>
      <c r="G7" s="34" t="n"/>
      <c r="H7" s="36" t="b">
        <v>0</v>
      </c>
      <c r="I7" s="37" t="n"/>
      <c r="J7" s="38" t="n"/>
      <c r="K7" s="38" t="n"/>
      <c r="L7" s="33" t="n">
        <v>1</v>
      </c>
    </row>
    <row r="8">
      <c r="A8" s="33" t="inlineStr">
        <is>
          <t>C0</t>
        </is>
      </c>
      <c r="B8" s="33" t="inlineStr">
        <is>
          <t>1 · N1-2</t>
        </is>
      </c>
      <c r="C8" s="34" t="n"/>
      <c r="D8" s="35" t="inlineStr">
        <is>
          <t>Clone repo vào thư mục KHÔNG dấu, git checkout develop</t>
        </is>
      </c>
      <c r="E8" s="34" t="n"/>
      <c r="F8" s="34" t="n"/>
      <c r="G8" s="34" t="n"/>
      <c r="H8" s="36" t="b">
        <v>0</v>
      </c>
      <c r="I8" s="37" t="n"/>
      <c r="J8" s="38" t="n"/>
      <c r="K8" s="38" t="n"/>
      <c r="L8" s="33" t="n">
        <v>1</v>
      </c>
    </row>
    <row r="9">
      <c r="A9" s="33" t="inlineStr">
        <is>
          <t>C0</t>
        </is>
      </c>
      <c r="B9" s="33" t="inlineStr">
        <is>
          <t>1 · N1-2</t>
        </is>
      </c>
      <c r="C9" s="34" t="n"/>
      <c r="D9" s="35" t="inlineStr">
        <is>
          <t>Tạo CSDL bằng database/foodrescue_schema.sql (XAMPP), chạy foodrescue_checks.sql thấy sạch</t>
        </is>
      </c>
      <c r="E9" s="34" t="n"/>
      <c r="F9" s="34" t="n"/>
      <c r="G9" s="34" t="n"/>
      <c r="H9" s="36" t="b">
        <v>0</v>
      </c>
      <c r="I9" s="37" t="n"/>
      <c r="J9" s="38" t="n"/>
      <c r="K9" s="38" t="n"/>
      <c r="L9" s="33" t="n">
        <v>1</v>
      </c>
    </row>
    <row r="10">
      <c r="A10" s="33" t="inlineStr">
        <is>
          <t>C0</t>
        </is>
      </c>
      <c r="B10" s="33" t="inlineStr">
        <is>
          <t>1 · N1-2</t>
        </is>
      </c>
      <c r="C10" s="34" t="n"/>
      <c r="D10" s="35" t="inlineStr">
        <is>
          <t>Tạo application-local.yml từ file .example; mvn spring-boot:run; mở /api/ping thấy ok</t>
        </is>
      </c>
      <c r="E10" s="34" t="n"/>
      <c r="F10" s="34" t="n"/>
      <c r="G10" s="34" t="n"/>
      <c r="H10" s="36" t="b">
        <v>0</v>
      </c>
      <c r="I10" s="37" t="n"/>
      <c r="J10" s="38" t="n"/>
      <c r="K10" s="38" t="n"/>
      <c r="L10" s="33" t="n">
        <v>1</v>
      </c>
    </row>
    <row r="11">
      <c r="A11" s="33" t="inlineStr">
        <is>
          <t>C0</t>
        </is>
      </c>
      <c r="B11" s="33" t="inlineStr">
        <is>
          <t>1 · N1-2</t>
        </is>
      </c>
      <c r="C11" s="34" t="n"/>
      <c r="D11" s="35" t="inlineStr">
        <is>
          <t>npm install, npm run dev; mở localhost:5173 thấy "đã nối được backend"</t>
        </is>
      </c>
      <c r="E11" s="34" t="n"/>
      <c r="F11" s="34" t="n"/>
      <c r="G11" s="34" t="n"/>
      <c r="H11" s="36" t="b">
        <v>0</v>
      </c>
      <c r="I11" s="37" t="n"/>
      <c r="J11" s="38" t="n"/>
      <c r="K11" s="38" t="n"/>
      <c r="L11" s="33" t="n">
        <v>1</v>
      </c>
    </row>
    <row r="12">
      <c r="A12" s="33" t="inlineStr">
        <is>
          <t>C0</t>
        </is>
      </c>
      <c r="B12" s="33" t="inlineStr">
        <is>
          <t>1 · N1-2</t>
        </is>
      </c>
      <c r="C12" s="34" t="n"/>
      <c r="D12" s="35" t="inlineStr">
        <is>
          <t>Đọc tài liệu dự án mục 2-5 và toàn bộ Quy ước chung</t>
        </is>
      </c>
      <c r="E12" s="34" t="n"/>
      <c r="F12" s="34" t="n"/>
      <c r="G12" s="34" t="n"/>
      <c r="H12" s="36" t="b">
        <v>0</v>
      </c>
      <c r="I12" s="37" t="n"/>
      <c r="J12" s="38" t="n"/>
      <c r="K12" s="38" t="n"/>
      <c r="L12" s="33" t="n">
        <v>1</v>
      </c>
    </row>
    <row r="13">
      <c r="A13" s="33" t="inlineStr">
        <is>
          <t>C0</t>
        </is>
      </c>
      <c r="B13" s="33" t="inlineStr">
        <is>
          <t>1 · N1-2</t>
        </is>
      </c>
      <c r="C13" s="34" t="n"/>
      <c r="D13" s="35" t="inlineStr">
        <is>
          <t>Tạo nhánh đầu tiên, mở 1 Pull Request thử, thấy CI chạy</t>
        </is>
      </c>
      <c r="E13" s="34" t="n"/>
      <c r="F13" s="34" t="n"/>
      <c r="G13" s="34" t="n"/>
      <c r="H13" s="36" t="b">
        <v>0</v>
      </c>
      <c r="I13" s="37" t="n"/>
      <c r="J13" s="38" t="n"/>
      <c r="K13" s="38" t="n"/>
      <c r="L13" s="33" t="n">
        <v>1</v>
      </c>
    </row>
    <row r="14">
      <c r="A14" s="33" t="inlineStr">
        <is>
          <t>C0</t>
        </is>
      </c>
      <c r="B14" s="33" t="inlineStr">
        <is>
          <t>1 · N1-2</t>
        </is>
      </c>
      <c r="C14" s="34" t="n"/>
      <c r="D14" s="39" t="inlineStr">
        <is>
          <t>✔ Kiểm tra: C0 chênh lệch 0; C1-C12 không trả dòng nào</t>
        </is>
      </c>
      <c r="E14" s="34" t="n"/>
      <c r="F14" s="34" t="n"/>
      <c r="G14" s="34" t="n"/>
      <c r="H14" s="36" t="b">
        <v>0</v>
      </c>
      <c r="I14" s="37" t="n"/>
      <c r="J14" s="38" t="n"/>
      <c r="K14" s="38" t="n"/>
      <c r="L14" s="33" t="n">
        <v>1</v>
      </c>
    </row>
    <row r="15">
      <c r="A15" s="43" t="inlineStr">
        <is>
          <t>S0</t>
        </is>
      </c>
      <c r="B15" s="43" t="inlineStr">
        <is>
          <t>1 · N1-3</t>
        </is>
      </c>
      <c r="C15" s="43" t="inlineStr">
        <is>
          <t>Ghim bản đồ, giao diện tĩnh</t>
        </is>
      </c>
      <c r="D15" s="43" t="inlineStr"/>
      <c r="E15" s="43" t="inlineStr">
        <is>
          <t>—</t>
        </is>
      </c>
      <c r="F15" s="43" t="inlineStr">
        <is>
          <t>Component ghim + 2 trang tĩnh</t>
        </is>
      </c>
      <c r="G15" s="43" t="inlineStr">
        <is>
          <t>5</t>
        </is>
      </c>
      <c r="H15" s="44" t="n"/>
      <c r="I15" s="44" t="n"/>
      <c r="J15" s="44" t="n"/>
      <c r="K15" s="44" t="n"/>
      <c r="L15" s="45" t="n">
        <v>1</v>
      </c>
    </row>
    <row r="16">
      <c r="A16" s="33" t="inlineStr">
        <is>
          <t>S0</t>
        </is>
      </c>
      <c r="B16" s="33" t="inlineStr">
        <is>
          <t>1 · N1-3</t>
        </is>
      </c>
      <c r="C16" s="34" t="n"/>
      <c r="D16" s="35" t="inlineStr">
        <is>
          <t>LocationPicker (react-leaflet): bấm hoặc kéo ghim → trả {lat, lng}, chặn toạ độ ngoài Việt Nam.</t>
        </is>
      </c>
      <c r="E16" s="34" t="n"/>
      <c r="F16" s="34" t="n"/>
      <c r="G16" s="34" t="n"/>
      <c r="H16" s="36" t="b">
        <v>0</v>
      </c>
      <c r="I16" s="37" t="n"/>
      <c r="J16" s="38" t="n"/>
      <c r="K16" s="38" t="n"/>
      <c r="L16" s="33" t="n">
        <v>1</v>
      </c>
    </row>
    <row r="17">
      <c r="A17" s="33" t="inlineStr">
        <is>
          <t>S0</t>
        </is>
      </c>
      <c r="B17" s="33" t="inlineStr">
        <is>
          <t>1 · N1-3</t>
        </is>
      </c>
      <c r="C17" s="34" t="n"/>
      <c r="D17" s="35" t="inlineStr">
        <is>
          <t>Giao diện tĩnh trang đăng ký cửa hàng (3 bước) và trang quản lý túi, dùng component của TV3.</t>
        </is>
      </c>
      <c r="E17" s="34" t="n"/>
      <c r="F17" s="34" t="n"/>
      <c r="G17" s="34" t="n"/>
      <c r="H17" s="36" t="b">
        <v>0</v>
      </c>
      <c r="I17" s="37" t="n"/>
      <c r="J17" s="38" t="n"/>
      <c r="K17" s="38" t="n"/>
      <c r="L17" s="33" t="n">
        <v>1</v>
      </c>
    </row>
    <row r="18">
      <c r="A18" s="33" t="inlineStr">
        <is>
          <t>S0</t>
        </is>
      </c>
      <c r="B18" s="33" t="inlineStr">
        <is>
          <t>1 · N1-3</t>
        </is>
      </c>
      <c r="C18" s="34" t="n"/>
      <c r="D18" s="39" t="inlineStr">
        <is>
          <t>✔ Kiểm tra: Ghim ra đúng toạ độ</t>
        </is>
      </c>
      <c r="E18" s="34" t="n"/>
      <c r="F18" s="34" t="n"/>
      <c r="G18" s="34" t="n"/>
      <c r="H18" s="36" t="b">
        <v>0</v>
      </c>
      <c r="I18" s="37" t="n"/>
      <c r="J18" s="38" t="n"/>
      <c r="K18" s="38" t="n"/>
      <c r="L18" s="33" t="n">
        <v>1</v>
      </c>
    </row>
    <row r="19">
      <c r="A19" s="43" t="inlineStr">
        <is>
          <t>H2</t>
        </is>
      </c>
      <c r="B19" s="43" t="inlineStr">
        <is>
          <t>1 · N4-5</t>
        </is>
      </c>
      <c r="C19" s="43" t="inlineStr">
        <is>
          <t>Hợp đồng API</t>
        </is>
      </c>
      <c r="D19" s="43" t="inlineStr"/>
      <c r="E19" s="43" t="inlineStr">
        <is>
          <t>F4</t>
        </is>
      </c>
      <c r="F19" s="43" t="inlineStr">
        <is>
          <t>API hiện trên Swagger</t>
        </is>
      </c>
      <c r="G19" s="43" t="inlineStr">
        <is>
          <t>3</t>
        </is>
      </c>
      <c r="H19" s="44" t="n"/>
      <c r="I19" s="44" t="n"/>
      <c r="J19" s="44" t="n"/>
      <c r="K19" s="44" t="n"/>
      <c r="L19" s="45" t="n">
        <v>1</v>
      </c>
    </row>
    <row r="20">
      <c r="A20" s="33" t="inlineStr">
        <is>
          <t>H2</t>
        </is>
      </c>
      <c r="B20" s="33" t="inlineStr">
        <is>
          <t>1 · N4-5</t>
        </is>
      </c>
      <c r="C20" s="34" t="n"/>
      <c r="D20" s="35" t="inlineStr">
        <is>
          <t>DTO + controller dữ liệu giả cho /api/auth/register-store, /api/admin/stores*, /api/admin/users*, /api/store/batches*, quantity, stock-movements, profile, staff, revenue, statement, payouts.</t>
        </is>
      </c>
      <c r="E20" s="34" t="n"/>
      <c r="F20" s="34" t="n"/>
      <c r="G20" s="34" t="n"/>
      <c r="H20" s="36" t="b">
        <v>0</v>
      </c>
      <c r="I20" s="37" t="n"/>
      <c r="J20" s="38" t="n"/>
      <c r="K20" s="38" t="n"/>
      <c r="L20" s="33" t="n">
        <v>1</v>
      </c>
    </row>
    <row r="21">
      <c r="A21" s="33" t="inlineStr">
        <is>
          <t>H2</t>
        </is>
      </c>
      <c r="B21" s="33" t="inlineStr">
        <is>
          <t>1 · N4-5</t>
        </is>
      </c>
      <c r="C21" s="34" t="n"/>
      <c r="D21" s="39" t="inlineStr">
        <is>
          <t>✔ Kiểm tra: Duyệt ở G1</t>
        </is>
      </c>
      <c r="E21" s="34" t="n"/>
      <c r="F21" s="34" t="n"/>
      <c r="G21" s="34" t="n"/>
      <c r="H21" s="36" t="b">
        <v>0</v>
      </c>
      <c r="I21" s="37" t="n"/>
      <c r="J21" s="38" t="n"/>
      <c r="K21" s="38" t="n"/>
      <c r="L21" s="33" t="n">
        <v>1</v>
      </c>
    </row>
    <row r="22">
      <c r="A22" s="43" t="inlineStr">
        <is>
          <t>S1</t>
        </is>
      </c>
      <c r="B22" s="43" t="inlineStr">
        <is>
          <t>2</t>
        </is>
      </c>
      <c r="C22" s="43" t="inlineStr">
        <is>
          <t>API đăng ký cửa hàng</t>
        </is>
      </c>
      <c r="D22" s="43" t="inlineStr"/>
      <c r="E22" s="43" t="inlineStr">
        <is>
          <t>F4, F6</t>
        </is>
      </c>
      <c r="F22" s="43" t="inlineStr">
        <is>
          <t>Đăng ký bằng Postman ra cửa hàng PENDING</t>
        </is>
      </c>
      <c r="G22" s="43" t="inlineStr">
        <is>
          <t>5</t>
        </is>
      </c>
      <c r="H22" s="44" t="n"/>
      <c r="I22" s="44" t="n"/>
      <c r="J22" s="44" t="n"/>
      <c r="K22" s="44" t="n"/>
      <c r="L22" s="45" t="n">
        <v>2</v>
      </c>
    </row>
    <row r="23">
      <c r="A23" s="33" t="inlineStr">
        <is>
          <t>S1</t>
        </is>
      </c>
      <c r="B23" s="33" t="inlineStr">
        <is>
          <t>2</t>
        </is>
      </c>
      <c r="C23" s="34" t="n"/>
      <c r="D23" s="35" t="inlineStr">
        <is>
          <t>POST /api/auth/register-store (multipart): tạo user STORE_OWNER + store PENDING trong 1 transaction; lưu ảnh giấy phép qua FileStorageService.</t>
        </is>
      </c>
      <c r="E23" s="34" t="n"/>
      <c r="F23" s="34" t="n"/>
      <c r="G23" s="34" t="n"/>
      <c r="H23" s="36" t="b">
        <v>0</v>
      </c>
      <c r="I23" s="37" t="n"/>
      <c r="J23" s="38" t="n"/>
      <c r="K23" s="38" t="n"/>
      <c r="L23" s="33" t="n">
        <v>2</v>
      </c>
    </row>
    <row r="24">
      <c r="A24" s="33" t="inlineStr">
        <is>
          <t>S1</t>
        </is>
      </c>
      <c r="B24" s="33" t="inlineStr">
        <is>
          <t>2</t>
        </is>
      </c>
      <c r="C24" s="34" t="n"/>
      <c r="D24" s="35" t="inlineStr">
        <is>
          <t>Kiểm tra: email trùng, giờ đóng &gt; giờ mở, toạ độ trong Việt Nam, đủ tài khoản ngân hàng.</t>
        </is>
      </c>
      <c r="E24" s="34" t="n"/>
      <c r="F24" s="34" t="n"/>
      <c r="G24" s="34" t="n"/>
      <c r="H24" s="36" t="b">
        <v>0</v>
      </c>
      <c r="I24" s="37" t="n"/>
      <c r="J24" s="38" t="n"/>
      <c r="K24" s="38" t="n"/>
      <c r="L24" s="33" t="n">
        <v>2</v>
      </c>
    </row>
    <row r="25">
      <c r="A25" s="33" t="inlineStr">
        <is>
          <t>S1</t>
        </is>
      </c>
      <c r="B25" s="33" t="inlineStr">
        <is>
          <t>2</t>
        </is>
      </c>
      <c r="C25" s="34" t="n"/>
      <c r="D25" s="35" t="inlineStr">
        <is>
          <t>Chủ quán chưa duyệt đăng nhập thì storeStatus = PENDING.</t>
        </is>
      </c>
      <c r="E25" s="34" t="n"/>
      <c r="F25" s="34" t="n"/>
      <c r="G25" s="34" t="n"/>
      <c r="H25" s="36" t="b">
        <v>0</v>
      </c>
      <c r="I25" s="37" t="n"/>
      <c r="J25" s="38" t="n"/>
      <c r="K25" s="38" t="n"/>
      <c r="L25" s="33" t="n">
        <v>2</v>
      </c>
    </row>
    <row r="26">
      <c r="A26" s="33" t="inlineStr">
        <is>
          <t>S1</t>
        </is>
      </c>
      <c r="B26" s="33" t="inlineStr">
        <is>
          <t>2</t>
        </is>
      </c>
      <c r="C26" s="34" t="n"/>
      <c r="D26" s="39" t="inlineStr">
        <is>
          <t>✔ Kiểm tra: Đăng ký lần 2 cùng email → EMAIL_EXISTS</t>
        </is>
      </c>
      <c r="E26" s="34" t="n"/>
      <c r="F26" s="34" t="n"/>
      <c r="G26" s="34" t="n"/>
      <c r="H26" s="36" t="b">
        <v>0</v>
      </c>
      <c r="I26" s="37" t="n"/>
      <c r="J26" s="38" t="n"/>
      <c r="K26" s="38" t="n"/>
      <c r="L26" s="33" t="n">
        <v>2</v>
      </c>
    </row>
    <row r="27">
      <c r="A27" s="43" t="inlineStr">
        <is>
          <t>S2</t>
        </is>
      </c>
      <c r="B27" s="43" t="inlineStr">
        <is>
          <t>2</t>
        </is>
      </c>
      <c r="C27" s="43" t="inlineStr">
        <is>
          <t>Trang đăng ký cửa hàng</t>
        </is>
      </c>
      <c r="D27" s="43" t="inlineStr"/>
      <c r="E27" s="43" t="inlineStr">
        <is>
          <t>S1</t>
        </is>
      </c>
      <c r="F27" s="43" t="inlineStr">
        <is>
          <t>Đăng ký được trên giao diện</t>
        </is>
      </c>
      <c r="G27" s="43" t="inlineStr">
        <is>
          <t>6</t>
        </is>
      </c>
      <c r="H27" s="44" t="n"/>
      <c r="I27" s="44" t="n"/>
      <c r="J27" s="44" t="n"/>
      <c r="K27" s="44" t="n"/>
      <c r="L27" s="45" t="n">
        <v>2</v>
      </c>
    </row>
    <row r="28">
      <c r="A28" s="33" t="inlineStr">
        <is>
          <t>S2</t>
        </is>
      </c>
      <c r="B28" s="33" t="inlineStr">
        <is>
          <t>2</t>
        </is>
      </c>
      <c r="C28" s="34" t="n"/>
      <c r="D28" s="35" t="inlineStr">
        <is>
          <t>/store/register: Steps tài khoản → cửa hàng + ghim → giấy phép + ngân hàng.</t>
        </is>
      </c>
      <c r="E28" s="34" t="n"/>
      <c r="F28" s="34" t="n"/>
      <c r="G28" s="34" t="n"/>
      <c r="H28" s="36" t="b">
        <v>0</v>
      </c>
      <c r="I28" s="37" t="n"/>
      <c r="J28" s="38" t="n"/>
      <c r="K28" s="38" t="n"/>
      <c r="L28" s="33" t="n">
        <v>2</v>
      </c>
    </row>
    <row r="29">
      <c r="A29" s="33" t="inlineStr">
        <is>
          <t>S2</t>
        </is>
      </c>
      <c r="B29" s="33" t="inlineStr">
        <is>
          <t>2</t>
        </is>
      </c>
      <c r="C29" s="34" t="n"/>
      <c r="D29" s="35" t="inlineStr">
        <is>
          <t>Xong thì báo "Chờ admin duyệt".</t>
        </is>
      </c>
      <c r="E29" s="34" t="n"/>
      <c r="F29" s="34" t="n"/>
      <c r="G29" s="34" t="n"/>
      <c r="H29" s="36" t="b">
        <v>0</v>
      </c>
      <c r="I29" s="37" t="n"/>
      <c r="J29" s="38" t="n"/>
      <c r="K29" s="38" t="n"/>
      <c r="L29" s="33" t="n">
        <v>2</v>
      </c>
    </row>
    <row r="30">
      <c r="A30" s="33" t="inlineStr">
        <is>
          <t>S2</t>
        </is>
      </c>
      <c r="B30" s="33" t="inlineStr">
        <is>
          <t>2</t>
        </is>
      </c>
      <c r="C30" s="34" t="n"/>
      <c r="D30" s="35" t="inlineStr">
        <is>
          <t>Chủ quán PENDING đăng nhập thấy trang "Đang chờ duyệt".</t>
        </is>
      </c>
      <c r="E30" s="34" t="n"/>
      <c r="F30" s="34" t="n"/>
      <c r="G30" s="34" t="n"/>
      <c r="H30" s="36" t="b">
        <v>0</v>
      </c>
      <c r="I30" s="37" t="n"/>
      <c r="J30" s="38" t="n"/>
      <c r="K30" s="38" t="n"/>
      <c r="L30" s="33" t="n">
        <v>2</v>
      </c>
    </row>
    <row r="31">
      <c r="A31" s="33" t="inlineStr">
        <is>
          <t>S2</t>
        </is>
      </c>
      <c r="B31" s="33" t="inlineStr">
        <is>
          <t>2</t>
        </is>
      </c>
      <c r="C31" s="34" t="n"/>
      <c r="D31" s="39" t="inlineStr">
        <is>
          <t>✔ Kiểm tra: Thử với dữ liệu thiếu, sai</t>
        </is>
      </c>
      <c r="E31" s="34" t="n"/>
      <c r="F31" s="34" t="n"/>
      <c r="G31" s="34" t="n"/>
      <c r="H31" s="36" t="b">
        <v>0</v>
      </c>
      <c r="I31" s="37" t="n"/>
      <c r="J31" s="38" t="n"/>
      <c r="K31" s="38" t="n"/>
      <c r="L31" s="33" t="n">
        <v>2</v>
      </c>
    </row>
    <row r="32">
      <c r="A32" s="43" t="inlineStr">
        <is>
          <t>S3</t>
        </is>
      </c>
      <c r="B32" s="43" t="inlineStr">
        <is>
          <t>3</t>
        </is>
      </c>
      <c r="C32" s="43" t="inlineStr">
        <is>
          <t>Admin duyệt cửa hàng</t>
        </is>
      </c>
      <c r="D32" s="43" t="inlineStr"/>
      <c r="E32" s="43" t="inlineStr">
        <is>
          <t>F8, seed</t>
        </is>
      </c>
      <c r="F32" s="43" t="inlineStr">
        <is>
          <t>Duyệt GreenMart với phí 10%</t>
        </is>
      </c>
      <c r="G32" s="43" t="inlineStr">
        <is>
          <t>8</t>
        </is>
      </c>
      <c r="H32" s="44" t="n"/>
      <c r="I32" s="44" t="n"/>
      <c r="J32" s="44" t="n"/>
      <c r="K32" s="44" t="n"/>
      <c r="L32" s="45" t="n">
        <v>3</v>
      </c>
    </row>
    <row r="33">
      <c r="A33" s="33" t="inlineStr">
        <is>
          <t>S3</t>
        </is>
      </c>
      <c r="B33" s="33" t="inlineStr">
        <is>
          <t>3</t>
        </is>
      </c>
      <c r="C33" s="34" t="n"/>
      <c r="D33" s="35" t="inlineStr">
        <is>
          <t>GET /api/admin/stores?status; approve (kèm tỉ lệ phí, mặc định 15%), reject (bắt buộc lý do), lock, unlock; PUT .../commission.</t>
        </is>
      </c>
      <c r="E33" s="34" t="n"/>
      <c r="F33" s="34" t="n"/>
      <c r="G33" s="34" t="n"/>
      <c r="H33" s="36" t="b">
        <v>0</v>
      </c>
      <c r="I33" s="37" t="n"/>
      <c r="J33" s="38" t="n"/>
      <c r="K33" s="38" t="n"/>
      <c r="L33" s="33" t="n">
        <v>3</v>
      </c>
    </row>
    <row r="34">
      <c r="A34" s="33" t="inlineStr">
        <is>
          <t>S3</t>
        </is>
      </c>
      <c r="B34" s="33" t="inlineStr">
        <is>
          <t>3</t>
        </is>
      </c>
      <c r="C34" s="34" t="n"/>
      <c r="D34" s="35" t="inlineStr">
        <is>
          <t>Ghi log từng thao tác.</t>
        </is>
      </c>
      <c r="E34" s="34" t="n"/>
      <c r="F34" s="34" t="n"/>
      <c r="G34" s="34" t="n"/>
      <c r="H34" s="36" t="b">
        <v>0</v>
      </c>
      <c r="I34" s="37" t="n"/>
      <c r="J34" s="38" t="n"/>
      <c r="K34" s="38" t="n"/>
      <c r="L34" s="33" t="n">
        <v>3</v>
      </c>
    </row>
    <row r="35">
      <c r="A35" s="33" t="inlineStr">
        <is>
          <t>S3</t>
        </is>
      </c>
      <c r="B35" s="33" t="inlineStr">
        <is>
          <t>3</t>
        </is>
      </c>
      <c r="C35" s="34" t="n"/>
      <c r="D35" s="35" t="inlineStr">
        <is>
          <t>Trang /admin/stores: tab theo trạng thái, xem ảnh giấy phép, bản đồ vị trí.</t>
        </is>
      </c>
      <c r="E35" s="34" t="n"/>
      <c r="F35" s="34" t="n"/>
      <c r="G35" s="34" t="n"/>
      <c r="H35" s="36" t="b">
        <v>0</v>
      </c>
      <c r="I35" s="37" t="n"/>
      <c r="J35" s="38" t="n"/>
      <c r="K35" s="38" t="n"/>
      <c r="L35" s="33" t="n">
        <v>3</v>
      </c>
    </row>
    <row r="36">
      <c r="A36" s="33" t="inlineStr">
        <is>
          <t>S3</t>
        </is>
      </c>
      <c r="B36" s="33" t="inlineStr">
        <is>
          <t>3</t>
        </is>
      </c>
      <c r="C36" s="34" t="n"/>
      <c r="D36" s="39" t="inlineStr">
        <is>
          <t>✔ Kiểm tra: Nhật ký có STORE_APPROVED</t>
        </is>
      </c>
      <c r="E36" s="34" t="n"/>
      <c r="F36" s="34" t="n"/>
      <c r="G36" s="34" t="n"/>
      <c r="H36" s="36" t="b">
        <v>0</v>
      </c>
      <c r="I36" s="37" t="n"/>
      <c r="J36" s="38" t="n"/>
      <c r="K36" s="38" t="n"/>
      <c r="L36" s="33" t="n">
        <v>3</v>
      </c>
    </row>
    <row r="37">
      <c r="A37" s="43" t="inlineStr">
        <is>
          <t>S4</t>
        </is>
      </c>
      <c r="B37" s="43" t="inlineStr">
        <is>
          <t>3</t>
        </is>
      </c>
      <c r="C37" s="43" t="inlineStr">
        <is>
          <t>API túi</t>
        </is>
      </c>
      <c r="D37" s="43" t="inlineStr"/>
      <c r="E37" s="43" t="inlineStr">
        <is>
          <t>F8</t>
        </is>
      </c>
      <c r="F37" s="43" t="inlineStr">
        <is>
          <t>Tạo, sửa túi bằng API</t>
        </is>
      </c>
      <c r="G37" s="43" t="inlineStr">
        <is>
          <t>7</t>
        </is>
      </c>
      <c r="H37" s="44" t="n"/>
      <c r="I37" s="44" t="n"/>
      <c r="J37" s="44" t="n"/>
      <c r="K37" s="44" t="n"/>
      <c r="L37" s="45" t="n">
        <v>3</v>
      </c>
    </row>
    <row r="38">
      <c r="A38" s="33" t="inlineStr">
        <is>
          <t>S4</t>
        </is>
      </c>
      <c r="B38" s="33" t="inlineStr">
        <is>
          <t>3</t>
        </is>
      </c>
      <c r="C38" s="34" t="n"/>
      <c r="D38" s="35" t="inlineStr">
        <is>
          <t>GET/POST/PUT /api/store/batches (multipart có ảnh), chỉ túi của cửa hàng mình.</t>
        </is>
      </c>
      <c r="E38" s="34" t="n"/>
      <c r="F38" s="34" t="n"/>
      <c r="G38" s="34" t="n"/>
      <c r="H38" s="36" t="b">
        <v>0</v>
      </c>
      <c r="I38" s="37" t="n"/>
      <c r="J38" s="38" t="n"/>
      <c r="K38" s="38" t="n"/>
      <c r="L38" s="33" t="n">
        <v>3</v>
      </c>
    </row>
    <row r="39">
      <c r="A39" s="33" t="inlineStr">
        <is>
          <t>S4</t>
        </is>
      </c>
      <c r="B39" s="33" t="inlineStr">
        <is>
          <t>3</t>
        </is>
      </c>
      <c r="C39" s="34" t="n"/>
      <c r="D39" s="35" t="inlineStr">
        <is>
          <t>Kiểm tra giá ≤ 60% (Money.isValidRescuePrice), khung giờ, cửa hàng đã duyệt; túi đã có đơn thì không sửa giá / khung giờ.</t>
        </is>
      </c>
      <c r="E39" s="34" t="n"/>
      <c r="F39" s="34" t="n"/>
      <c r="G39" s="34" t="n"/>
      <c r="H39" s="36" t="b">
        <v>0</v>
      </c>
      <c r="I39" s="37" t="n"/>
      <c r="J39" s="38" t="n"/>
      <c r="K39" s="38" t="n"/>
      <c r="L39" s="33" t="n">
        <v>3</v>
      </c>
    </row>
    <row r="40">
      <c r="A40" s="33" t="inlineStr">
        <is>
          <t>S4</t>
        </is>
      </c>
      <c r="B40" s="33" t="inlineStr">
        <is>
          <t>3</t>
        </is>
      </c>
      <c r="C40" s="34" t="n"/>
      <c r="D40" s="35" t="inlineStr">
        <is>
          <t>Tạo túi gọi StockService.adjust(LISTED).</t>
        </is>
      </c>
      <c r="E40" s="34" t="n"/>
      <c r="F40" s="34" t="n"/>
      <c r="G40" s="34" t="n"/>
      <c r="H40" s="36" t="b">
        <v>0</v>
      </c>
      <c r="I40" s="37" t="n"/>
      <c r="J40" s="38" t="n"/>
      <c r="K40" s="38" t="n"/>
      <c r="L40" s="33" t="n">
        <v>3</v>
      </c>
    </row>
    <row r="41">
      <c r="A41" s="33" t="inlineStr">
        <is>
          <t>S4</t>
        </is>
      </c>
      <c r="B41" s="33" t="inlineStr">
        <is>
          <t>3</t>
        </is>
      </c>
      <c r="C41" s="34" t="n"/>
      <c r="D41" s="39" t="inlineStr">
        <is>
          <t>✔ Kiểm tra: TC09; C1b sạch</t>
        </is>
      </c>
      <c r="E41" s="34" t="n"/>
      <c r="F41" s="34" t="n"/>
      <c r="G41" s="34" t="n"/>
      <c r="H41" s="36" t="b">
        <v>0</v>
      </c>
      <c r="I41" s="37" t="n"/>
      <c r="J41" s="38" t="n"/>
      <c r="K41" s="38" t="n"/>
      <c r="L41" s="33" t="n">
        <v>3</v>
      </c>
    </row>
    <row r="42">
      <c r="A42" s="43" t="inlineStr">
        <is>
          <t>S5</t>
        </is>
      </c>
      <c r="B42" s="43" t="inlineStr">
        <is>
          <t>4</t>
        </is>
      </c>
      <c r="C42" s="43" t="inlineStr">
        <is>
          <t>Trang quản lý túi</t>
        </is>
      </c>
      <c r="D42" s="43" t="inlineStr"/>
      <c r="E42" s="43" t="inlineStr">
        <is>
          <t>S4</t>
        </is>
      </c>
      <c r="F42" s="43" t="inlineStr">
        <is>
          <t>Chủ quán quản lý túi trên giao diện</t>
        </is>
      </c>
      <c r="G42" s="43" t="inlineStr">
        <is>
          <t>7</t>
        </is>
      </c>
      <c r="H42" s="44" t="n"/>
      <c r="I42" s="44" t="n"/>
      <c r="J42" s="44" t="n"/>
      <c r="K42" s="44" t="n"/>
      <c r="L42" s="45" t="n">
        <v>4</v>
      </c>
    </row>
    <row r="43">
      <c r="A43" s="33" t="inlineStr">
        <is>
          <t>S5</t>
        </is>
      </c>
      <c r="B43" s="33" t="inlineStr">
        <is>
          <t>4</t>
        </is>
      </c>
      <c r="C43" s="34" t="n"/>
      <c r="D43" s="35" t="inlineStr">
        <is>
          <t>/store/batches: bảng túi lọc trạng thái, StatusTag, PriceTag.</t>
        </is>
      </c>
      <c r="E43" s="34" t="n"/>
      <c r="F43" s="34" t="n"/>
      <c r="G43" s="34" t="n"/>
      <c r="H43" s="36" t="b">
        <v>0</v>
      </c>
      <c r="I43" s="37" t="n"/>
      <c r="J43" s="38" t="n"/>
      <c r="K43" s="38" t="n"/>
      <c r="L43" s="33" t="n">
        <v>4</v>
      </c>
    </row>
    <row r="44">
      <c r="A44" s="33" t="inlineStr">
        <is>
          <t>S5</t>
        </is>
      </c>
      <c r="B44" s="33" t="inlineStr">
        <is>
          <t>4</t>
        </is>
      </c>
      <c r="C44" s="34" t="n"/>
      <c r="D44" s="35" t="inlineStr">
        <is>
          <t>Form tạo / sửa: danh mục, ảnh, giá, số lượng, khung giờ.</t>
        </is>
      </c>
      <c r="E44" s="34" t="n"/>
      <c r="F44" s="34" t="n"/>
      <c r="G44" s="34" t="n"/>
      <c r="H44" s="36" t="b">
        <v>0</v>
      </c>
      <c r="I44" s="37" t="n"/>
      <c r="J44" s="38" t="n"/>
      <c r="K44" s="38" t="n"/>
      <c r="L44" s="33" t="n">
        <v>4</v>
      </c>
    </row>
    <row r="45">
      <c r="A45" s="33" t="inlineStr">
        <is>
          <t>S5</t>
        </is>
      </c>
      <c r="B45" s="33" t="inlineStr">
        <is>
          <t>4</t>
        </is>
      </c>
      <c r="C45" s="34" t="n"/>
      <c r="D45" s="35" t="inlineStr">
        <is>
          <t>Nút "Đăng lại" (chép túi cũ sang hôm nay).</t>
        </is>
      </c>
      <c r="E45" s="34" t="n"/>
      <c r="F45" s="34" t="n"/>
      <c r="G45" s="34" t="n"/>
      <c r="H45" s="36" t="b">
        <v>0</v>
      </c>
      <c r="I45" s="37" t="n"/>
      <c r="J45" s="38" t="n"/>
      <c r="K45" s="38" t="n"/>
      <c r="L45" s="33" t="n">
        <v>4</v>
      </c>
    </row>
    <row r="46">
      <c r="A46" s="33" t="inlineStr">
        <is>
          <t>S5</t>
        </is>
      </c>
      <c r="B46" s="33" t="inlineStr">
        <is>
          <t>4</t>
        </is>
      </c>
      <c r="C46" s="34" t="n"/>
      <c r="D46" s="39" t="inlineStr">
        <is>
          <t>✔ Kiểm tra: Tạo túi mới hiện ngay trên trang chủ</t>
        </is>
      </c>
      <c r="E46" s="34" t="n"/>
      <c r="F46" s="34" t="n"/>
      <c r="G46" s="34" t="n"/>
      <c r="H46" s="36" t="b">
        <v>0</v>
      </c>
      <c r="I46" s="37" t="n"/>
      <c r="J46" s="38" t="n"/>
      <c r="K46" s="38" t="n"/>
      <c r="L46" s="33" t="n">
        <v>4</v>
      </c>
    </row>
    <row r="47">
      <c r="A47" s="43" t="inlineStr">
        <is>
          <t>S6</t>
        </is>
      </c>
      <c r="B47" s="43" t="inlineStr">
        <is>
          <t>4</t>
        </is>
      </c>
      <c r="C47" s="43" t="inlineStr">
        <is>
          <t>Huỷ túi</t>
        </is>
      </c>
      <c r="D47" s="43" t="inlineStr"/>
      <c r="E47" s="43" t="inlineStr">
        <is>
          <t>F8</t>
        </is>
      </c>
      <c r="F47" s="43" t="inlineStr">
        <is>
          <t>Huỷ túi an toàn</t>
        </is>
      </c>
      <c r="G47" s="43" t="inlineStr">
        <is>
          <t>4</t>
        </is>
      </c>
      <c r="H47" s="44" t="n"/>
      <c r="I47" s="44" t="n"/>
      <c r="J47" s="44" t="n"/>
      <c r="K47" s="44" t="n"/>
      <c r="L47" s="45" t="n">
        <v>4</v>
      </c>
    </row>
    <row r="48">
      <c r="A48" s="33" t="inlineStr">
        <is>
          <t>S6</t>
        </is>
      </c>
      <c r="B48" s="33" t="inlineStr">
        <is>
          <t>4</t>
        </is>
      </c>
      <c r="C48" s="34" t="n"/>
      <c r="D48" s="35" t="inlineStr">
        <is>
          <t>POST /api/store/batches/{id}/cancel trong 1 transaction: túi CANCELLED; đơn CONFIRMED có túi đó → RefundService.request(BATCH_CANCELLED); đơn PENDING_PAYMENT → CANCELLED + UNPAID, trả kho; ghi log BATCH_CANCELLED.</t>
        </is>
      </c>
      <c r="E48" s="34" t="n"/>
      <c r="F48" s="34" t="n"/>
      <c r="G48" s="34" t="n"/>
      <c r="H48" s="36" t="b">
        <v>0</v>
      </c>
      <c r="I48" s="37" t="n"/>
      <c r="J48" s="38" t="n"/>
      <c r="K48" s="38" t="n"/>
      <c r="L48" s="33" t="n">
        <v>4</v>
      </c>
    </row>
    <row r="49">
      <c r="A49" s="33" t="inlineStr">
        <is>
          <t>S6</t>
        </is>
      </c>
      <c r="B49" s="33" t="inlineStr">
        <is>
          <t>4</t>
        </is>
      </c>
      <c r="C49" s="34" t="n"/>
      <c r="D49" s="39" t="inlineStr">
        <is>
          <t>✔ Kiểm tra: TC26; C1c, C6 sạch</t>
        </is>
      </c>
      <c r="E49" s="34" t="n"/>
      <c r="F49" s="34" t="n"/>
      <c r="G49" s="34" t="n"/>
      <c r="H49" s="36" t="b">
        <v>0</v>
      </c>
      <c r="I49" s="37" t="n"/>
      <c r="J49" s="38" t="n"/>
      <c r="K49" s="38" t="n"/>
      <c r="L49" s="33" t="n">
        <v>4</v>
      </c>
    </row>
    <row r="50">
      <c r="A50" s="43" t="inlineStr">
        <is>
          <t>S7</t>
        </is>
      </c>
      <c r="B50" s="43" t="inlineStr">
        <is>
          <t>5</t>
        </is>
      </c>
      <c r="C50" s="43" t="inlineStr">
        <is>
          <t>Hồ sơ cửa hàng</t>
        </is>
      </c>
      <c r="D50" s="43" t="inlineStr"/>
      <c r="E50" s="43" t="inlineStr">
        <is>
          <t>S0</t>
        </is>
      </c>
      <c r="F50" s="43" t="inlineStr">
        <is>
          <t>Chủ quán sửa được hồ sơ</t>
        </is>
      </c>
      <c r="G50" s="43" t="inlineStr">
        <is>
          <t>5</t>
        </is>
      </c>
      <c r="H50" s="44" t="n"/>
      <c r="I50" s="44" t="n"/>
      <c r="J50" s="44" t="n"/>
      <c r="K50" s="44" t="n"/>
      <c r="L50" s="45" t="n">
        <v>5</v>
      </c>
    </row>
    <row r="51">
      <c r="A51" s="33" t="inlineStr">
        <is>
          <t>S7</t>
        </is>
      </c>
      <c r="B51" s="33" t="inlineStr">
        <is>
          <t>5</t>
        </is>
      </c>
      <c r="C51" s="34" t="n"/>
      <c r="D51" s="35" t="inlineStr">
        <is>
          <t>GET/PUT /api/store/profile; trang sửa thông tin, ảnh, ghim lại vị trí, giờ mở cửa, tài khoản ngân hàng.</t>
        </is>
      </c>
      <c r="E51" s="34" t="n"/>
      <c r="F51" s="34" t="n"/>
      <c r="G51" s="34" t="n"/>
      <c r="H51" s="36" t="b">
        <v>0</v>
      </c>
      <c r="I51" s="37" t="n"/>
      <c r="J51" s="38" t="n"/>
      <c r="K51" s="38" t="n"/>
      <c r="L51" s="33" t="n">
        <v>5</v>
      </c>
    </row>
    <row r="52">
      <c r="A52" s="33" t="inlineStr">
        <is>
          <t>S7</t>
        </is>
      </c>
      <c r="B52" s="33" t="inlineStr">
        <is>
          <t>5</t>
        </is>
      </c>
      <c r="C52" s="34" t="n"/>
      <c r="D52" s="39" t="inlineStr">
        <is>
          <t>✔ Kiểm tra: Đổi vị trí → khoảng cách ở trang chủ đổi theo</t>
        </is>
      </c>
      <c r="E52" s="34" t="n"/>
      <c r="F52" s="34" t="n"/>
      <c r="G52" s="34" t="n"/>
      <c r="H52" s="36" t="b">
        <v>0</v>
      </c>
      <c r="I52" s="37" t="n"/>
      <c r="J52" s="38" t="n"/>
      <c r="K52" s="38" t="n"/>
      <c r="L52" s="33" t="n">
        <v>5</v>
      </c>
    </row>
    <row r="53">
      <c r="A53" s="43" t="inlineStr">
        <is>
          <t>S8</t>
        </is>
      </c>
      <c r="B53" s="43" t="inlineStr">
        <is>
          <t>5</t>
        </is>
      </c>
      <c r="C53" s="43" t="inlineStr">
        <is>
          <t>Thêm / bớt túi, sổ kho</t>
        </is>
      </c>
      <c r="D53" s="43" t="inlineStr"/>
      <c r="E53" s="43" t="inlineStr">
        <is>
          <t>S4, F8</t>
        </is>
      </c>
      <c r="F53" s="43" t="inlineStr">
        <is>
          <t>Thêm / bớt túi, xem sổ kho</t>
        </is>
      </c>
      <c r="G53" s="43" t="inlineStr">
        <is>
          <t>6</t>
        </is>
      </c>
      <c r="H53" s="44" t="n"/>
      <c r="I53" s="44" t="n"/>
      <c r="J53" s="44" t="n"/>
      <c r="K53" s="44" t="n"/>
      <c r="L53" s="45" t="n">
        <v>5</v>
      </c>
    </row>
    <row r="54">
      <c r="A54" s="33" t="inlineStr">
        <is>
          <t>S8</t>
        </is>
      </c>
      <c r="B54" s="33" t="inlineStr">
        <is>
          <t>5</t>
        </is>
      </c>
      <c r="C54" s="34" t="n"/>
      <c r="D54" s="35" t="inlineStr">
        <is>
          <t>PATCH .../quantity {delta} (nhân viên dùng được) gọi StockService.adjust (ADDED / REMOVED).</t>
        </is>
      </c>
      <c r="E54" s="34" t="n"/>
      <c r="F54" s="34" t="n"/>
      <c r="G54" s="34" t="n"/>
      <c r="H54" s="36" t="b">
        <v>0</v>
      </c>
      <c r="I54" s="37" t="n"/>
      <c r="J54" s="38" t="n"/>
      <c r="K54" s="38" t="n"/>
      <c r="L54" s="33" t="n">
        <v>5</v>
      </c>
    </row>
    <row r="55">
      <c r="A55" s="33" t="inlineStr">
        <is>
          <t>S8</t>
        </is>
      </c>
      <c r="B55" s="33" t="inlineStr">
        <is>
          <t>5</t>
        </is>
      </c>
      <c r="C55" s="34" t="n"/>
      <c r="D55" s="35" t="inlineStr">
        <is>
          <t>GET .../stock-movements.</t>
        </is>
      </c>
      <c r="E55" s="34" t="n"/>
      <c r="F55" s="34" t="n"/>
      <c r="G55" s="34" t="n"/>
      <c r="H55" s="36" t="b">
        <v>0</v>
      </c>
      <c r="I55" s="37" t="n"/>
      <c r="J55" s="38" t="n"/>
      <c r="K55" s="38" t="n"/>
      <c r="L55" s="33" t="n">
        <v>5</v>
      </c>
    </row>
    <row r="56">
      <c r="A56" s="33" t="inlineStr">
        <is>
          <t>S8</t>
        </is>
      </c>
      <c r="B56" s="33" t="inlineStr">
        <is>
          <t>5</t>
        </is>
      </c>
      <c r="C56" s="34" t="n"/>
      <c r="D56" s="35" t="inlineStr">
        <is>
          <t>Nút +/− trên bảng túi; trang sổ kho từng túi.</t>
        </is>
      </c>
      <c r="E56" s="34" t="n"/>
      <c r="F56" s="34" t="n"/>
      <c r="G56" s="34" t="n"/>
      <c r="H56" s="36" t="b">
        <v>0</v>
      </c>
      <c r="I56" s="37" t="n"/>
      <c r="J56" s="38" t="n"/>
      <c r="K56" s="38" t="n"/>
      <c r="L56" s="33" t="n">
        <v>5</v>
      </c>
    </row>
    <row r="57">
      <c r="A57" s="33" t="inlineStr">
        <is>
          <t>S8</t>
        </is>
      </c>
      <c r="B57" s="33" t="inlineStr">
        <is>
          <t>5</t>
        </is>
      </c>
      <c r="C57" s="34" t="n"/>
      <c r="D57" s="39" t="inlineStr">
        <is>
          <t>✔ Kiểm tra: TC18, TC23; C1, C1b sạch</t>
        </is>
      </c>
      <c r="E57" s="34" t="n"/>
      <c r="F57" s="34" t="n"/>
      <c r="G57" s="34" t="n"/>
      <c r="H57" s="36" t="b">
        <v>0</v>
      </c>
      <c r="I57" s="37" t="n"/>
      <c r="J57" s="38" t="n"/>
      <c r="K57" s="38" t="n"/>
      <c r="L57" s="33" t="n">
        <v>5</v>
      </c>
    </row>
    <row r="58">
      <c r="A58" s="43" t="inlineStr">
        <is>
          <t>S9</t>
        </is>
      </c>
      <c r="B58" s="43" t="inlineStr">
        <is>
          <t>6</t>
        </is>
      </c>
      <c r="C58" s="43" t="inlineStr">
        <is>
          <t>Nhân viên</t>
        </is>
      </c>
      <c r="D58" s="43" t="inlineStr"/>
      <c r="E58" s="43" t="inlineStr">
        <is>
          <t>A1</t>
        </is>
      </c>
      <c r="F58" s="43" t="inlineStr">
        <is>
          <t>Chủ quán quản lý nhân viên</t>
        </is>
      </c>
      <c r="G58" s="43" t="inlineStr">
        <is>
          <t>6</t>
        </is>
      </c>
      <c r="H58" s="44" t="n"/>
      <c r="I58" s="44" t="n"/>
      <c r="J58" s="44" t="n"/>
      <c r="K58" s="44" t="n"/>
      <c r="L58" s="45" t="n">
        <v>6</v>
      </c>
    </row>
    <row r="59">
      <c r="A59" s="33" t="inlineStr">
        <is>
          <t>S9</t>
        </is>
      </c>
      <c r="B59" s="33" t="inlineStr">
        <is>
          <t>6</t>
        </is>
      </c>
      <c r="C59" s="34" t="n"/>
      <c r="D59" s="35" t="inlineStr">
        <is>
          <t>POST /api/store/staff: tạo STORE_STAFF với store_id của chủ, mật khẩu tạm, must_change_password = TRUE.</t>
        </is>
      </c>
      <c r="E59" s="34" t="n"/>
      <c r="F59" s="34" t="n"/>
      <c r="G59" s="34" t="n"/>
      <c r="H59" s="36" t="b">
        <v>0</v>
      </c>
      <c r="I59" s="37" t="n"/>
      <c r="J59" s="38" t="n"/>
      <c r="K59" s="38" t="n"/>
      <c r="L59" s="33" t="n">
        <v>6</v>
      </c>
    </row>
    <row r="60">
      <c r="A60" s="33" t="inlineStr">
        <is>
          <t>S9</t>
        </is>
      </c>
      <c r="B60" s="33" t="inlineStr">
        <is>
          <t>6</t>
        </is>
      </c>
      <c r="C60" s="34" t="n"/>
      <c r="D60" s="35" t="inlineStr">
        <is>
          <t>Khoá / mở khoá.</t>
        </is>
      </c>
      <c r="E60" s="34" t="n"/>
      <c r="F60" s="34" t="n"/>
      <c r="G60" s="34" t="n"/>
      <c r="H60" s="36" t="b">
        <v>0</v>
      </c>
      <c r="I60" s="37" t="n"/>
      <c r="J60" s="38" t="n"/>
      <c r="K60" s="38" t="n"/>
      <c r="L60" s="33" t="n">
        <v>6</v>
      </c>
    </row>
    <row r="61">
      <c r="A61" s="33" t="inlineStr">
        <is>
          <t>S9</t>
        </is>
      </c>
      <c r="B61" s="33" t="inlineStr">
        <is>
          <t>6</t>
        </is>
      </c>
      <c r="C61" s="34" t="n"/>
      <c r="D61" s="35" t="inlineStr">
        <is>
          <t>Trang /store/staff.</t>
        </is>
      </c>
      <c r="E61" s="34" t="n"/>
      <c r="F61" s="34" t="n"/>
      <c r="G61" s="34" t="n"/>
      <c r="H61" s="36" t="b">
        <v>0</v>
      </c>
      <c r="I61" s="37" t="n"/>
      <c r="J61" s="38" t="n"/>
      <c r="K61" s="38" t="n"/>
      <c r="L61" s="33" t="n">
        <v>6</v>
      </c>
    </row>
    <row r="62">
      <c r="A62" s="33" t="inlineStr">
        <is>
          <t>S9</t>
        </is>
      </c>
      <c r="B62" s="33" t="inlineStr">
        <is>
          <t>6</t>
        </is>
      </c>
      <c r="C62" s="34" t="n"/>
      <c r="D62" s="39" t="inlineStr">
        <is>
          <t>✔ Kiểm tra: Nhân viên mới đăng nhập bị bắt đổi mật khẩu, chỉ thấy menu quầy + túi</t>
        </is>
      </c>
      <c r="E62" s="34" t="n"/>
      <c r="F62" s="34" t="n"/>
      <c r="G62" s="34" t="n"/>
      <c r="H62" s="36" t="b">
        <v>0</v>
      </c>
      <c r="I62" s="37" t="n"/>
      <c r="J62" s="38" t="n"/>
      <c r="K62" s="38" t="n"/>
      <c r="L62" s="33" t="n">
        <v>6</v>
      </c>
    </row>
    <row r="63">
      <c r="A63" s="43" t="inlineStr">
        <is>
          <t>S13</t>
        </is>
      </c>
      <c r="B63" s="43" t="inlineStr">
        <is>
          <t>6</t>
        </is>
      </c>
      <c r="C63" s="43" t="inlineStr">
        <is>
          <t>Admin người dùng</t>
        </is>
      </c>
      <c r="D63" s="43" t="inlineStr"/>
      <c r="E63" s="43" t="inlineStr">
        <is>
          <t>F8</t>
        </is>
      </c>
      <c r="F63" s="43" t="inlineStr">
        <is>
          <t>Admin quản lý tài khoản</t>
        </is>
      </c>
      <c r="G63" s="43" t="inlineStr">
        <is>
          <t>6</t>
        </is>
      </c>
      <c r="H63" s="44" t="n"/>
      <c r="I63" s="44" t="n"/>
      <c r="J63" s="44" t="n"/>
      <c r="K63" s="44" t="n"/>
      <c r="L63" s="45" t="n">
        <v>6</v>
      </c>
    </row>
    <row r="64">
      <c r="A64" s="33" t="inlineStr">
        <is>
          <t>S13</t>
        </is>
      </c>
      <c r="B64" s="33" t="inlineStr">
        <is>
          <t>6</t>
        </is>
      </c>
      <c r="C64" s="34" t="n"/>
      <c r="D64" s="35" t="inlineStr">
        <is>
          <t>GET /api/admin/users lọc vai trò, tìm email; khoá / mở khoá (không khoá chính mình).</t>
        </is>
      </c>
      <c r="E64" s="34" t="n"/>
      <c r="F64" s="34" t="n"/>
      <c r="G64" s="34" t="n"/>
      <c r="H64" s="36" t="b">
        <v>0</v>
      </c>
      <c r="I64" s="37" t="n"/>
      <c r="J64" s="38" t="n"/>
      <c r="K64" s="38" t="n"/>
      <c r="L64" s="33" t="n">
        <v>6</v>
      </c>
    </row>
    <row r="65">
      <c r="A65" s="33" t="inlineStr">
        <is>
          <t>S13</t>
        </is>
      </c>
      <c r="B65" s="33" t="inlineStr">
        <is>
          <t>6</t>
        </is>
      </c>
      <c r="C65" s="34" t="n"/>
      <c r="D65" s="35" t="inlineStr">
        <is>
          <t>POST .../reset-password trả mật khẩu tạm 1 lần.</t>
        </is>
      </c>
      <c r="E65" s="34" t="n"/>
      <c r="F65" s="34" t="n"/>
      <c r="G65" s="34" t="n"/>
      <c r="H65" s="36" t="b">
        <v>0</v>
      </c>
      <c r="I65" s="37" t="n"/>
      <c r="J65" s="38" t="n"/>
      <c r="K65" s="38" t="n"/>
      <c r="L65" s="33" t="n">
        <v>6</v>
      </c>
    </row>
    <row r="66">
      <c r="A66" s="33" t="inlineStr">
        <is>
          <t>S13</t>
        </is>
      </c>
      <c r="B66" s="33" t="inlineStr">
        <is>
          <t>6</t>
        </is>
      </c>
      <c r="C66" s="34" t="n"/>
      <c r="D66" s="35" t="inlineStr">
        <is>
          <t>Ghi log.</t>
        </is>
      </c>
      <c r="E66" s="34" t="n"/>
      <c r="F66" s="34" t="n"/>
      <c r="G66" s="34" t="n"/>
      <c r="H66" s="36" t="b">
        <v>0</v>
      </c>
      <c r="I66" s="37" t="n"/>
      <c r="J66" s="38" t="n"/>
      <c r="K66" s="38" t="n"/>
      <c r="L66" s="33" t="n">
        <v>6</v>
      </c>
    </row>
    <row r="67">
      <c r="A67" s="33" t="inlineStr">
        <is>
          <t>S13</t>
        </is>
      </c>
      <c r="B67" s="33" t="inlineStr">
        <is>
          <t>6</t>
        </is>
      </c>
      <c r="C67" s="34" t="n"/>
      <c r="D67" s="35" t="inlineStr">
        <is>
          <t>Trang /admin/users.</t>
        </is>
      </c>
      <c r="E67" s="34" t="n"/>
      <c r="F67" s="34" t="n"/>
      <c r="G67" s="34" t="n"/>
      <c r="H67" s="36" t="b">
        <v>0</v>
      </c>
      <c r="I67" s="37" t="n"/>
      <c r="J67" s="38" t="n"/>
      <c r="K67" s="38" t="n"/>
      <c r="L67" s="33" t="n">
        <v>6</v>
      </c>
    </row>
    <row r="68">
      <c r="A68" s="33" t="inlineStr">
        <is>
          <t>S13</t>
        </is>
      </c>
      <c r="B68" s="33" t="inlineStr">
        <is>
          <t>6</t>
        </is>
      </c>
      <c r="C68" s="34" t="n"/>
      <c r="D68" s="39" t="inlineStr">
        <is>
          <t>✔ Kiểm tra: TC24</t>
        </is>
      </c>
      <c r="E68" s="34" t="n"/>
      <c r="F68" s="34" t="n"/>
      <c r="G68" s="34" t="n"/>
      <c r="H68" s="36" t="b">
        <v>0</v>
      </c>
      <c r="I68" s="37" t="n"/>
      <c r="J68" s="38" t="n"/>
      <c r="K68" s="38" t="n"/>
      <c r="L68" s="33" t="n">
        <v>6</v>
      </c>
    </row>
    <row r="69">
      <c r="A69" s="43" t="inlineStr">
        <is>
          <t>S10</t>
        </is>
      </c>
      <c r="B69" s="43" t="inlineStr">
        <is>
          <t>7</t>
        </is>
      </c>
      <c r="C69" s="43" t="inlineStr">
        <is>
          <t>Doanh thu, sao kê, rút tiền</t>
        </is>
      </c>
      <c r="D69" s="43" t="inlineStr"/>
      <c r="E69" s="43" t="inlineStr">
        <is>
          <t>A6</t>
        </is>
      </c>
      <c r="F69" s="43" t="inlineStr">
        <is>
          <t>Cửa hàng xem và rút được tiền</t>
        </is>
      </c>
      <c r="G69" s="43" t="inlineStr">
        <is>
          <t>12</t>
        </is>
      </c>
      <c r="H69" s="44" t="n"/>
      <c r="I69" s="44" t="n"/>
      <c r="J69" s="44" t="n"/>
      <c r="K69" s="44" t="n"/>
      <c r="L69" s="45" t="n">
        <v>7</v>
      </c>
    </row>
    <row r="70">
      <c r="A70" s="33" t="inlineStr">
        <is>
          <t>S10</t>
        </is>
      </c>
      <c r="B70" s="33" t="inlineStr">
        <is>
          <t>7</t>
        </is>
      </c>
      <c r="C70" s="34" t="n"/>
      <c r="D70" s="35" t="inlineStr">
        <is>
          <t>GET /api/store/revenue (theo ngày).</t>
        </is>
      </c>
      <c r="E70" s="34" t="n"/>
      <c r="F70" s="34" t="n"/>
      <c r="G70" s="34" t="n"/>
      <c r="H70" s="36" t="b">
        <v>0</v>
      </c>
      <c r="I70" s="37" t="n"/>
      <c r="J70" s="38" t="n"/>
      <c r="K70" s="38" t="n"/>
      <c r="L70" s="33" t="n">
        <v>7</v>
      </c>
    </row>
    <row r="71">
      <c r="A71" s="33" t="inlineStr">
        <is>
          <t>S10</t>
        </is>
      </c>
      <c r="B71" s="33" t="inlineStr">
        <is>
          <t>7</t>
        </is>
      </c>
      <c r="C71" s="34" t="n"/>
      <c r="D71" s="35" t="inlineStr">
        <is>
          <t>GET /api/store/statement (từng đơn, kỳ chi trả / chưa chi).</t>
        </is>
      </c>
      <c r="E71" s="34" t="n"/>
      <c r="F71" s="34" t="n"/>
      <c r="G71" s="34" t="n"/>
      <c r="H71" s="36" t="b">
        <v>0</v>
      </c>
      <c r="I71" s="37" t="n"/>
      <c r="J71" s="38" t="n"/>
      <c r="K71" s="38" t="n"/>
      <c r="L71" s="33" t="n">
        <v>7</v>
      </c>
    </row>
    <row r="72">
      <c r="A72" s="33" t="inlineStr">
        <is>
          <t>S10</t>
        </is>
      </c>
      <c r="B72" s="33" t="inlineStr">
        <is>
          <t>7</t>
        </is>
      </c>
      <c r="C72" s="34" t="n"/>
      <c r="D72" s="35" t="inlineStr">
        <is>
          <t>GET /api/store/payouts.</t>
        </is>
      </c>
      <c r="E72" s="34" t="n"/>
      <c r="F72" s="34" t="n"/>
      <c r="G72" s="34" t="n"/>
      <c r="H72" s="36" t="b">
        <v>0</v>
      </c>
      <c r="I72" s="37" t="n"/>
      <c r="J72" s="38" t="n"/>
      <c r="K72" s="38" t="n"/>
      <c r="L72" s="33" t="n">
        <v>7</v>
      </c>
    </row>
    <row r="73">
      <c r="A73" s="33" t="inlineStr">
        <is>
          <t>S10</t>
        </is>
      </c>
      <c r="B73" s="33" t="inlineStr">
        <is>
          <t>7</t>
        </is>
      </c>
      <c r="C73" s="34" t="n"/>
      <c r="D73" s="35" t="inlineStr">
        <is>
          <t>POST /api/store/payouts/request gọi PayoutService.createForStore().</t>
        </is>
      </c>
      <c r="E73" s="34" t="n"/>
      <c r="F73" s="34" t="n"/>
      <c r="G73" s="34" t="n"/>
      <c r="H73" s="36" t="b">
        <v>0</v>
      </c>
      <c r="I73" s="37" t="n"/>
      <c r="J73" s="38" t="n"/>
      <c r="K73" s="38" t="n"/>
      <c r="L73" s="33" t="n">
        <v>7</v>
      </c>
    </row>
    <row r="74">
      <c r="A74" s="33" t="inlineStr">
        <is>
          <t>S10</t>
        </is>
      </c>
      <c r="B74" s="33" t="inlineStr">
        <is>
          <t>7</t>
        </is>
      </c>
      <c r="C74" s="34" t="n"/>
      <c r="D74" s="35" t="inlineStr">
        <is>
          <t>Trang /store/revenue: thẻ số liệu, biểu đồ, bảng sao kê, nút "Yêu cầu rút tiền".</t>
        </is>
      </c>
      <c r="E74" s="34" t="n"/>
      <c r="F74" s="34" t="n"/>
      <c r="G74" s="34" t="n"/>
      <c r="H74" s="36" t="b">
        <v>0</v>
      </c>
      <c r="I74" s="37" t="n"/>
      <c r="J74" s="38" t="n"/>
      <c r="K74" s="38" t="n"/>
      <c r="L74" s="33" t="n">
        <v>7</v>
      </c>
    </row>
    <row r="75">
      <c r="A75" s="33" t="inlineStr">
        <is>
          <t>S10</t>
        </is>
      </c>
      <c r="B75" s="33" t="inlineStr">
        <is>
          <t>7</t>
        </is>
      </c>
      <c r="C75" s="34" t="n"/>
      <c r="D75" s="39" t="inlineStr">
        <is>
          <t>✔ Kiểm tra: TC19; số liệu trùng câu C13</t>
        </is>
      </c>
      <c r="E75" s="34" t="n"/>
      <c r="F75" s="34" t="n"/>
      <c r="G75" s="34" t="n"/>
      <c r="H75" s="36" t="b">
        <v>0</v>
      </c>
      <c r="I75" s="37" t="n"/>
      <c r="J75" s="38" t="n"/>
      <c r="K75" s="38" t="n"/>
      <c r="L75" s="33" t="n">
        <v>7</v>
      </c>
    </row>
    <row r="76">
      <c r="A76" s="43" t="inlineStr">
        <is>
          <t>S11, S12</t>
        </is>
      </c>
      <c r="B76" s="43" t="inlineStr">
        <is>
          <t>8</t>
        </is>
      </c>
      <c r="C76" s="43" t="inlineStr">
        <is>
          <t>Test chéo, báo cáo</t>
        </is>
      </c>
      <c r="D76" s="43" t="inlineStr"/>
      <c r="E76" s="43" t="inlineStr">
        <is>
          <t>—</t>
        </is>
      </c>
      <c r="F76" s="43" t="inlineStr">
        <is>
          <t>Danh sách lỗi; phần báo cáo</t>
        </is>
      </c>
      <c r="G76" s="43" t="inlineStr">
        <is>
          <t>10</t>
        </is>
      </c>
      <c r="H76" s="44" t="n"/>
      <c r="I76" s="44" t="n"/>
      <c r="J76" s="44" t="n"/>
      <c r="K76" s="44" t="n"/>
      <c r="L76" s="45" t="n">
        <v>8</v>
      </c>
    </row>
    <row r="77">
      <c r="A77" s="33" t="inlineStr">
        <is>
          <t>S11, S12</t>
        </is>
      </c>
      <c r="B77" s="33" t="inlineStr">
        <is>
          <t>8</t>
        </is>
      </c>
      <c r="C77" s="34" t="n"/>
      <c r="D77" s="35" t="inlineStr">
        <is>
          <t>Test module TV3 (TC06, TC12 và giao diện khách); sửa lỗi của mình; viết phần báo cáo cửa hàng, túi, kho, CSDL.</t>
        </is>
      </c>
      <c r="E77" s="34" t="n"/>
      <c r="F77" s="34" t="n"/>
      <c r="G77" s="34" t="n"/>
      <c r="H77" s="36" t="b">
        <v>0</v>
      </c>
      <c r="I77" s="37" t="n"/>
      <c r="J77" s="38" t="n"/>
      <c r="K77" s="38" t="n"/>
      <c r="L77" s="33" t="n">
        <v>8</v>
      </c>
    </row>
  </sheetData>
  <autoFilter ref="A5:L77"/>
  <mergeCells count="2">
    <mergeCell ref="H2:I2"/>
    <mergeCell ref="B2:D2"/>
  </mergeCells>
  <conditionalFormatting sqref="A6:K77">
    <cfRule type="expression" priority="1" dxfId="1">
      <formula>$H6=TRUE</formula>
    </cfRule>
  </conditionalFormatting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2C7BE5"/>
    <outlinePr summaryBelow="1" summaryRight="1"/>
    <pageSetUpPr/>
  </sheetPr>
  <dimension ref="A1:L7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70" customWidth="1" min="4" max="4"/>
    <col width="12" customWidth="1" min="5" max="5"/>
    <col width="46" customWidth="1" min="6" max="6"/>
    <col width="6" customWidth="1" min="7" max="7"/>
    <col width="7" customWidth="1" min="8" max="8"/>
    <col width="12" customWidth="1" min="9" max="9"/>
    <col width="22" customWidth="1" min="10" max="10"/>
    <col width="22" customWidth="1" min="11" max="11"/>
    <col width="7" customWidth="1" min="12" max="12"/>
  </cols>
  <sheetData>
    <row r="1">
      <c r="A1" s="46" t="inlineStr">
        <is>
          <t>Checklist TV3 · Khách hàng, Bản đồ, Giao diện chung</t>
        </is>
      </c>
    </row>
    <row r="2">
      <c r="A2" s="24" t="inlineStr">
        <is>
          <t>Thành viên:</t>
        </is>
      </c>
      <c r="B2" s="25" t="n"/>
      <c r="F2" s="26" t="inlineStr">
        <is>
          <t>Tiến độ:</t>
        </is>
      </c>
      <c r="G2" s="47">
        <f>IFERROR(COUNTIF($H$6:$H$75,TRUE)/(COUNTIF($H$6:$H$75,TRUE)+COUNTIF($H$6:$H$75,FALSE)),0)</f>
        <v/>
      </c>
      <c r="H2" s="28">
        <f>COUNTIF($H$6:$H$75,TRUE)&amp;"/"&amp;(COUNTIF($H$6:$H$75,TRUE)+COUNTIF($H$6:$H$75,FALSE))&amp;" bước"</f>
        <v/>
      </c>
    </row>
    <row r="3">
      <c r="A3" s="6" t="inlineStr">
        <is>
          <t>Tick cột "Xong" khi làm xong từng bước. Ô vàng là ô được sửa. Xem sheet "Hướng dẫn".</t>
        </is>
      </c>
    </row>
    <row r="5">
      <c r="A5" s="48" t="inlineStr">
        <is>
          <t>Mã</t>
        </is>
      </c>
      <c r="B5" s="48" t="inlineStr">
        <is>
          <t>Tuần</t>
        </is>
      </c>
      <c r="C5" s="48" t="inlineStr">
        <is>
          <t>Việc</t>
        </is>
      </c>
      <c r="D5" s="48" t="inlineStr">
        <is>
          <t>Bước cần làm</t>
        </is>
      </c>
      <c r="E5" s="48" t="inlineStr">
        <is>
          <t>Cần có trước</t>
        </is>
      </c>
      <c r="F5" s="48" t="inlineStr">
        <is>
          <t>Kết quả bàn giao / cách kiểm tra</t>
        </is>
      </c>
      <c r="G5" s="48" t="inlineStr">
        <is>
          <t>Giờ</t>
        </is>
      </c>
      <c r="H5" s="48" t="inlineStr">
        <is>
          <t>Xong</t>
        </is>
      </c>
      <c r="I5" s="48" t="inlineStr">
        <is>
          <t>Ngày xong</t>
        </is>
      </c>
      <c r="J5" s="48" t="inlineStr">
        <is>
          <t>Link PR</t>
        </is>
      </c>
      <c r="K5" s="48" t="inlineStr">
        <is>
          <t>Ghi chú</t>
        </is>
      </c>
      <c r="L5" s="48" t="inlineStr">
        <is>
          <t>Tuần số</t>
        </is>
      </c>
    </row>
    <row r="6">
      <c r="A6" s="49" t="inlineStr">
        <is>
          <t>C0</t>
        </is>
      </c>
      <c r="B6" s="49" t="inlineStr">
        <is>
          <t>1 · N1-2</t>
        </is>
      </c>
      <c r="C6" s="49" t="inlineStr">
        <is>
          <t>Chuẩn bị máy (cả nhóm)</t>
        </is>
      </c>
      <c r="D6" s="49" t="inlineStr"/>
      <c r="E6" s="49" t="inlineStr">
        <is>
          <t>—</t>
        </is>
      </c>
      <c r="F6" s="49" t="inlineStr">
        <is>
          <t>Máy chạy được CSDL, backend, frontend</t>
        </is>
      </c>
      <c r="G6" s="49" t="inlineStr">
        <is>
          <t>2</t>
        </is>
      </c>
      <c r="H6" s="50" t="n"/>
      <c r="I6" s="50" t="n"/>
      <c r="J6" s="50" t="n"/>
      <c r="K6" s="50" t="n"/>
      <c r="L6" s="51" t="n">
        <v>1</v>
      </c>
    </row>
    <row r="7">
      <c r="A7" s="33" t="inlineStr">
        <is>
          <t>C0</t>
        </is>
      </c>
      <c r="B7" s="33" t="inlineStr">
        <is>
          <t>1 · N1-2</t>
        </is>
      </c>
      <c r="C7" s="34" t="n"/>
      <c r="D7" s="35" t="inlineStr">
        <is>
          <t>Cài JDK 17+, Maven, Node.js 22, Git, XAMPP, VS Code + extension (Java, Spring Boot, Prettier, EditorConfig)</t>
        </is>
      </c>
      <c r="E7" s="34" t="n"/>
      <c r="F7" s="34" t="n"/>
      <c r="G7" s="34" t="n"/>
      <c r="H7" s="36" t="b">
        <v>0</v>
      </c>
      <c r="I7" s="37" t="n"/>
      <c r="J7" s="38" t="n"/>
      <c r="K7" s="38" t="n"/>
      <c r="L7" s="33" t="n">
        <v>1</v>
      </c>
    </row>
    <row r="8">
      <c r="A8" s="33" t="inlineStr">
        <is>
          <t>C0</t>
        </is>
      </c>
      <c r="B8" s="33" t="inlineStr">
        <is>
          <t>1 · N1-2</t>
        </is>
      </c>
      <c r="C8" s="34" t="n"/>
      <c r="D8" s="35" t="inlineStr">
        <is>
          <t>Clone repo vào thư mục KHÔNG dấu, git checkout develop</t>
        </is>
      </c>
      <c r="E8" s="34" t="n"/>
      <c r="F8" s="34" t="n"/>
      <c r="G8" s="34" t="n"/>
      <c r="H8" s="36" t="b">
        <v>0</v>
      </c>
      <c r="I8" s="37" t="n"/>
      <c r="J8" s="38" t="n"/>
      <c r="K8" s="38" t="n"/>
      <c r="L8" s="33" t="n">
        <v>1</v>
      </c>
    </row>
    <row r="9">
      <c r="A9" s="33" t="inlineStr">
        <is>
          <t>C0</t>
        </is>
      </c>
      <c r="B9" s="33" t="inlineStr">
        <is>
          <t>1 · N1-2</t>
        </is>
      </c>
      <c r="C9" s="34" t="n"/>
      <c r="D9" s="35" t="inlineStr">
        <is>
          <t>Tạo CSDL bằng database/foodrescue_schema.sql (XAMPP), chạy foodrescue_checks.sql thấy sạch</t>
        </is>
      </c>
      <c r="E9" s="34" t="n"/>
      <c r="F9" s="34" t="n"/>
      <c r="G9" s="34" t="n"/>
      <c r="H9" s="36" t="b">
        <v>0</v>
      </c>
      <c r="I9" s="37" t="n"/>
      <c r="J9" s="38" t="n"/>
      <c r="K9" s="38" t="n"/>
      <c r="L9" s="33" t="n">
        <v>1</v>
      </c>
    </row>
    <row r="10">
      <c r="A10" s="33" t="inlineStr">
        <is>
          <t>C0</t>
        </is>
      </c>
      <c r="B10" s="33" t="inlineStr">
        <is>
          <t>1 · N1-2</t>
        </is>
      </c>
      <c r="C10" s="34" t="n"/>
      <c r="D10" s="35" t="inlineStr">
        <is>
          <t>Tạo application-local.yml từ file .example; mvn spring-boot:run; mở /api/ping thấy ok</t>
        </is>
      </c>
      <c r="E10" s="34" t="n"/>
      <c r="F10" s="34" t="n"/>
      <c r="G10" s="34" t="n"/>
      <c r="H10" s="36" t="b">
        <v>0</v>
      </c>
      <c r="I10" s="37" t="n"/>
      <c r="J10" s="38" t="n"/>
      <c r="K10" s="38" t="n"/>
      <c r="L10" s="33" t="n">
        <v>1</v>
      </c>
    </row>
    <row r="11">
      <c r="A11" s="33" t="inlineStr">
        <is>
          <t>C0</t>
        </is>
      </c>
      <c r="B11" s="33" t="inlineStr">
        <is>
          <t>1 · N1-2</t>
        </is>
      </c>
      <c r="C11" s="34" t="n"/>
      <c r="D11" s="35" t="inlineStr">
        <is>
          <t>npm install, npm run dev; mở localhost:5173 thấy "đã nối được backend"</t>
        </is>
      </c>
      <c r="E11" s="34" t="n"/>
      <c r="F11" s="34" t="n"/>
      <c r="G11" s="34" t="n"/>
      <c r="H11" s="36" t="b">
        <v>0</v>
      </c>
      <c r="I11" s="37" t="n"/>
      <c r="J11" s="38" t="n"/>
      <c r="K11" s="38" t="n"/>
      <c r="L11" s="33" t="n">
        <v>1</v>
      </c>
    </row>
    <row r="12">
      <c r="A12" s="33" t="inlineStr">
        <is>
          <t>C0</t>
        </is>
      </c>
      <c r="B12" s="33" t="inlineStr">
        <is>
          <t>1 · N1-2</t>
        </is>
      </c>
      <c r="C12" s="34" t="n"/>
      <c r="D12" s="35" t="inlineStr">
        <is>
          <t>Đọc tài liệu dự án mục 2-5 và toàn bộ Quy ước chung</t>
        </is>
      </c>
      <c r="E12" s="34" t="n"/>
      <c r="F12" s="34" t="n"/>
      <c r="G12" s="34" t="n"/>
      <c r="H12" s="36" t="b">
        <v>0</v>
      </c>
      <c r="I12" s="37" t="n"/>
      <c r="J12" s="38" t="n"/>
      <c r="K12" s="38" t="n"/>
      <c r="L12" s="33" t="n">
        <v>1</v>
      </c>
    </row>
    <row r="13">
      <c r="A13" s="33" t="inlineStr">
        <is>
          <t>C0</t>
        </is>
      </c>
      <c r="B13" s="33" t="inlineStr">
        <is>
          <t>1 · N1-2</t>
        </is>
      </c>
      <c r="C13" s="34" t="n"/>
      <c r="D13" s="35" t="inlineStr">
        <is>
          <t>Tạo nhánh đầu tiên, mở 1 Pull Request thử, thấy CI chạy</t>
        </is>
      </c>
      <c r="E13" s="34" t="n"/>
      <c r="F13" s="34" t="n"/>
      <c r="G13" s="34" t="n"/>
      <c r="H13" s="36" t="b">
        <v>0</v>
      </c>
      <c r="I13" s="37" t="n"/>
      <c r="J13" s="38" t="n"/>
      <c r="K13" s="38" t="n"/>
      <c r="L13" s="33" t="n">
        <v>1</v>
      </c>
    </row>
    <row r="14">
      <c r="A14" s="33" t="inlineStr">
        <is>
          <t>C0</t>
        </is>
      </c>
      <c r="B14" s="33" t="inlineStr">
        <is>
          <t>1 · N1-2</t>
        </is>
      </c>
      <c r="C14" s="34" t="n"/>
      <c r="D14" s="39" t="inlineStr">
        <is>
          <t>✔ Kiểm tra: C0 chênh lệch 0; C1-C12 không trả dòng nào</t>
        </is>
      </c>
      <c r="E14" s="34" t="n"/>
      <c r="F14" s="34" t="n"/>
      <c r="G14" s="34" t="n"/>
      <c r="H14" s="36" t="b">
        <v>0</v>
      </c>
      <c r="I14" s="37" t="n"/>
      <c r="J14" s="38" t="n"/>
      <c r="K14" s="38" t="n"/>
      <c r="L14" s="33" t="n">
        <v>1</v>
      </c>
    </row>
    <row r="15">
      <c r="A15" s="49" t="inlineStr">
        <is>
          <t>B0</t>
        </is>
      </c>
      <c r="B15" s="49" t="inlineStr">
        <is>
          <t>1 · N1-2</t>
        </is>
      </c>
      <c r="C15" s="49" t="inlineStr">
        <is>
          <t>Thử OSRM, làm ảnh</t>
        </is>
      </c>
      <c r="D15" s="49" t="inlineStr"/>
      <c r="E15" s="49" t="inlineStr">
        <is>
          <t>—</t>
        </is>
      </c>
      <c r="F15" s="49" t="inlineStr">
        <is>
          <t>Kết quả OSRM; bộ ảnh trong frontend/src/assets</t>
        </is>
      </c>
      <c r="G15" s="49" t="inlineStr">
        <is>
          <t>5</t>
        </is>
      </c>
      <c r="H15" s="50" t="n"/>
      <c r="I15" s="50" t="n"/>
      <c r="J15" s="50" t="n"/>
      <c r="K15" s="50" t="n"/>
      <c r="L15" s="51" t="n">
        <v>1</v>
      </c>
    </row>
    <row r="16">
      <c r="A16" s="33" t="inlineStr">
        <is>
          <t>B0</t>
        </is>
      </c>
      <c r="B16" s="33" t="inlineStr">
        <is>
          <t>1 · N1-2</t>
        </is>
      </c>
      <c r="C16" s="34" t="n"/>
      <c r="D16" s="35" t="inlineStr">
        <is>
          <t>Class Java nháp gọi OSRM Table API, in mét / giây (nhớ thứ tự kinh độ, vĩ độ).</t>
        </is>
      </c>
      <c r="E16" s="34" t="n"/>
      <c r="F16" s="34" t="n"/>
      <c r="G16" s="34" t="n"/>
      <c r="H16" s="36" t="b">
        <v>0</v>
      </c>
      <c r="I16" s="37" t="n"/>
      <c r="J16" s="38" t="n"/>
      <c r="K16" s="38" t="n"/>
      <c r="L16" s="33" t="n">
        <v>1</v>
      </c>
    </row>
    <row r="17">
      <c r="A17" s="33" t="inlineStr">
        <is>
          <t>B0</t>
        </is>
      </c>
      <c r="B17" s="33" t="inlineStr">
        <is>
          <t>1 · N1-2</t>
        </is>
      </c>
      <c r="C17" s="34" t="n"/>
      <c r="D17" s="35" t="inlineStr">
        <is>
          <t>6 ảnh danh mục PNG nền trong (đặt tên theo image_url trong SQL) + 3 banner (Canva) theo Quy ước chung mục 6.4.</t>
        </is>
      </c>
      <c r="E17" s="34" t="n"/>
      <c r="F17" s="34" t="n"/>
      <c r="G17" s="34" t="n"/>
      <c r="H17" s="36" t="b">
        <v>0</v>
      </c>
      <c r="I17" s="37" t="n"/>
      <c r="J17" s="38" t="n"/>
      <c r="K17" s="38" t="n"/>
      <c r="L17" s="33" t="n">
        <v>1</v>
      </c>
    </row>
    <row r="18">
      <c r="A18" s="33" t="inlineStr">
        <is>
          <t>B0</t>
        </is>
      </c>
      <c r="B18" s="33" t="inlineStr">
        <is>
          <t>1 · N1-2</t>
        </is>
      </c>
      <c r="C18" s="34" t="n"/>
      <c r="D18" s="39" t="inlineStr">
        <is>
          <t>✔ Kiểm tra: So quãng đường với Google Maps</t>
        </is>
      </c>
      <c r="E18" s="34" t="n"/>
      <c r="F18" s="34" t="n"/>
      <c r="G18" s="34" t="n"/>
      <c r="H18" s="36" t="b">
        <v>0</v>
      </c>
      <c r="I18" s="37" t="n"/>
      <c r="J18" s="38" t="n"/>
      <c r="K18" s="38" t="n"/>
      <c r="L18" s="33" t="n">
        <v>1</v>
      </c>
    </row>
    <row r="19">
      <c r="A19" s="49" t="inlineStr">
        <is>
          <t>B14</t>
        </is>
      </c>
      <c r="B19" s="49" t="inlineStr">
        <is>
          <t>1 · N3-5</t>
        </is>
      </c>
      <c r="C19" s="49" t="inlineStr">
        <is>
          <t>Bộ component dùng chung</t>
        </is>
      </c>
      <c r="D19" s="49" t="inlineStr"/>
      <c r="E19" s="49" t="inlineStr">
        <is>
          <t>F5</t>
        </is>
      </c>
      <c r="F19" s="49" t="inlineStr">
        <is>
          <t>Bộ component cho cả nhóm; trang chủ tĩnh giống mô phỏng</t>
        </is>
      </c>
      <c r="G19" s="49" t="inlineStr">
        <is>
          <t>6</t>
        </is>
      </c>
      <c r="H19" s="50" t="n"/>
      <c r="I19" s="50" t="n"/>
      <c r="J19" s="50" t="n"/>
      <c r="K19" s="50" t="n"/>
      <c r="L19" s="51" t="n">
        <v>1</v>
      </c>
    </row>
    <row r="20">
      <c r="A20" s="33" t="inlineStr">
        <is>
          <t>B14</t>
        </is>
      </c>
      <c r="B20" s="33" t="inlineStr">
        <is>
          <t>1 · N3-5</t>
        </is>
      </c>
      <c r="C20" s="34" t="n"/>
      <c r="D20" s="35" t="inlineStr">
        <is>
          <t>Trong shared/components: SiteHeader (logo, "Vị trí nhận hàng", ô tìm kiếm, Đăng nhập / Đăng ký, chỗ icon giỏ), CategoryStrip, BatchCard, PriceTag, MoneyText, StatusTag, DistanceText, PickupWindow, PageHeader, StatCard, EmptyState, ConfirmAction.</t>
        </is>
      </c>
      <c r="E20" s="34" t="n"/>
      <c r="F20" s="34" t="n"/>
      <c r="G20" s="34" t="n"/>
      <c r="H20" s="36" t="b">
        <v>0</v>
      </c>
      <c r="I20" s="37" t="n"/>
      <c r="J20" s="38" t="n"/>
      <c r="K20" s="38" t="n"/>
      <c r="L20" s="33" t="n">
        <v>1</v>
      </c>
    </row>
    <row r="21">
      <c r="A21" s="33" t="inlineStr">
        <is>
          <t>B14</t>
        </is>
      </c>
      <c r="B21" s="33" t="inlineStr">
        <is>
          <t>1 · N3-5</t>
        </is>
      </c>
      <c r="C21" s="34" t="n"/>
      <c r="D21" s="35" t="inlineStr">
        <is>
          <t>Chỉ dùng theme.js, status.js, format.js.</t>
        </is>
      </c>
      <c r="E21" s="34" t="n"/>
      <c r="F21" s="34" t="n"/>
      <c r="G21" s="34" t="n"/>
      <c r="H21" s="36" t="b">
        <v>0</v>
      </c>
      <c r="I21" s="37" t="n"/>
      <c r="J21" s="38" t="n"/>
      <c r="K21" s="38" t="n"/>
      <c r="L21" s="33" t="n">
        <v>1</v>
      </c>
    </row>
    <row r="22">
      <c r="A22" s="33" t="inlineStr">
        <is>
          <t>B14</t>
        </is>
      </c>
      <c r="B22" s="33" t="inlineStr">
        <is>
          <t>1 · N3-5</t>
        </is>
      </c>
      <c r="C22" s="34" t="n"/>
      <c r="D22" s="35" t="inlineStr">
        <is>
          <t>Trang chủ tĩnh với dữ liệu giả.</t>
        </is>
      </c>
      <c r="E22" s="34" t="n"/>
      <c r="F22" s="34" t="n"/>
      <c r="G22" s="34" t="n"/>
      <c r="H22" s="36" t="b">
        <v>0</v>
      </c>
      <c r="I22" s="37" t="n"/>
      <c r="J22" s="38" t="n"/>
      <c r="K22" s="38" t="n"/>
      <c r="L22" s="33" t="n">
        <v>1</v>
      </c>
    </row>
    <row r="23">
      <c r="A23" s="33" t="inlineStr">
        <is>
          <t>B14</t>
        </is>
      </c>
      <c r="B23" s="33" t="inlineStr">
        <is>
          <t>1 · N3-5</t>
        </is>
      </c>
      <c r="C23" s="34" t="n"/>
      <c r="D23" s="39" t="inlineStr">
        <is>
          <t>✔ Kiểm tra: TV1 duyệt PR (nhãn shared-change)</t>
        </is>
      </c>
      <c r="E23" s="34" t="n"/>
      <c r="F23" s="34" t="n"/>
      <c r="G23" s="34" t="n"/>
      <c r="H23" s="36" t="b">
        <v>0</v>
      </c>
      <c r="I23" s="37" t="n"/>
      <c r="J23" s="38" t="n"/>
      <c r="K23" s="38" t="n"/>
      <c r="L23" s="33" t="n">
        <v>1</v>
      </c>
    </row>
    <row r="24">
      <c r="A24" s="49" t="inlineStr">
        <is>
          <t>H3</t>
        </is>
      </c>
      <c r="B24" s="49" t="inlineStr">
        <is>
          <t>1 · N4-5</t>
        </is>
      </c>
      <c r="C24" s="49" t="inlineStr">
        <is>
          <t>Hợp đồng API</t>
        </is>
      </c>
      <c r="D24" s="49" t="inlineStr"/>
      <c r="E24" s="49" t="inlineStr">
        <is>
          <t>F4</t>
        </is>
      </c>
      <c r="F24" s="49" t="inlineStr">
        <is>
          <t>API hiện trên Swagger</t>
        </is>
      </c>
      <c r="G24" s="49" t="inlineStr">
        <is>
          <t>3</t>
        </is>
      </c>
      <c r="H24" s="50" t="n"/>
      <c r="I24" s="50" t="n"/>
      <c r="J24" s="50" t="n"/>
      <c r="K24" s="50" t="n"/>
      <c r="L24" s="51" t="n">
        <v>1</v>
      </c>
    </row>
    <row r="25">
      <c r="A25" s="33" t="inlineStr">
        <is>
          <t>H3</t>
        </is>
      </c>
      <c r="B25" s="33" t="inlineStr">
        <is>
          <t>1 · N4-5</t>
        </is>
      </c>
      <c r="C25" s="34" t="n"/>
      <c r="D25" s="35" t="inlineStr">
        <is>
          <t>DTO + controller dữ liệu giả cho /api/categories, /api/batches, /api/batches/{id}, /api/stores/{id} (+ reviews), /api/orders/{id}/review, /api/admin/categories, /api/admin/dashboard.</t>
        </is>
      </c>
      <c r="E25" s="34" t="n"/>
      <c r="F25" s="34" t="n"/>
      <c r="G25" s="34" t="n"/>
      <c r="H25" s="36" t="b">
        <v>0</v>
      </c>
      <c r="I25" s="37" t="n"/>
      <c r="J25" s="38" t="n"/>
      <c r="K25" s="38" t="n"/>
      <c r="L25" s="33" t="n">
        <v>1</v>
      </c>
    </row>
    <row r="26">
      <c r="A26" s="33" t="inlineStr">
        <is>
          <t>H3</t>
        </is>
      </c>
      <c r="B26" s="33" t="inlineStr">
        <is>
          <t>1 · N4-5</t>
        </is>
      </c>
      <c r="C26" s="34" t="n"/>
      <c r="D26" s="39" t="inlineStr">
        <is>
          <t>✔ Kiểm tra: Duyệt ở G1</t>
        </is>
      </c>
      <c r="E26" s="34" t="n"/>
      <c r="F26" s="34" t="n"/>
      <c r="G26" s="34" t="n"/>
      <c r="H26" s="36" t="b">
        <v>0</v>
      </c>
      <c r="I26" s="37" t="n"/>
      <c r="J26" s="38" t="n"/>
      <c r="K26" s="38" t="n"/>
      <c r="L26" s="33" t="n">
        <v>1</v>
      </c>
    </row>
    <row r="27">
      <c r="A27" s="49" t="inlineStr">
        <is>
          <t>B1</t>
        </is>
      </c>
      <c r="B27" s="49" t="inlineStr">
        <is>
          <t>2</t>
        </is>
      </c>
      <c r="C27" s="49" t="inlineStr">
        <is>
          <t>API danh sách túi</t>
        </is>
      </c>
      <c r="D27" s="49" t="inlineStr"/>
      <c r="E27" s="49" t="inlineStr">
        <is>
          <t>F3</t>
        </is>
      </c>
      <c r="F27" s="49" t="inlineStr">
        <is>
          <t>API trả túi thật</t>
        </is>
      </c>
      <c r="G27" s="49" t="inlineStr">
        <is>
          <t>6</t>
        </is>
      </c>
      <c r="H27" s="50" t="n"/>
      <c r="I27" s="50" t="n"/>
      <c r="J27" s="50" t="n"/>
      <c r="K27" s="50" t="n"/>
      <c r="L27" s="51" t="n">
        <v>2</v>
      </c>
    </row>
    <row r="28">
      <c r="A28" s="33" t="inlineStr">
        <is>
          <t>B1</t>
        </is>
      </c>
      <c r="B28" s="33" t="inlineStr">
        <is>
          <t>2</t>
        </is>
      </c>
      <c r="C28" s="34" t="n"/>
      <c r="D28" s="35" t="inlineStr">
        <is>
          <t>GET /api/categories theo sort_order.</t>
        </is>
      </c>
      <c r="E28" s="34" t="n"/>
      <c r="F28" s="34" t="n"/>
      <c r="G28" s="34" t="n"/>
      <c r="H28" s="36" t="b">
        <v>0</v>
      </c>
      <c r="I28" s="37" t="n"/>
      <c r="J28" s="38" t="n"/>
      <c r="K28" s="38" t="n"/>
      <c r="L28" s="33" t="n">
        <v>2</v>
      </c>
    </row>
    <row r="29">
      <c r="A29" s="33" t="inlineStr">
        <is>
          <t>B1</t>
        </is>
      </c>
      <c r="B29" s="33" t="inlineStr">
        <is>
          <t>2</t>
        </is>
      </c>
      <c r="C29" s="34" t="n"/>
      <c r="D29" s="35" t="inlineStr">
        <is>
          <t>GET /api/batches: chỉ túi AVAILABLE, chưa hết giờ, của cửa hàng APPROVED; lọc danh mục, từ khoá; sắp xếp rẻ nhất / sắp hết giờ; PageResponse.</t>
        </is>
      </c>
      <c r="E29" s="34" t="n"/>
      <c r="F29" s="34" t="n"/>
      <c r="G29" s="34" t="n"/>
      <c r="H29" s="36" t="b">
        <v>0</v>
      </c>
      <c r="I29" s="37" t="n"/>
      <c r="J29" s="38" t="n"/>
      <c r="K29" s="38" t="n"/>
      <c r="L29" s="33" t="n">
        <v>2</v>
      </c>
    </row>
    <row r="30">
      <c r="A30" s="33" t="inlineStr">
        <is>
          <t>B1</t>
        </is>
      </c>
      <c r="B30" s="33" t="inlineStr">
        <is>
          <t>2</t>
        </is>
      </c>
      <c r="C30" s="34" t="n"/>
      <c r="D30" s="39" t="inlineStr">
        <is>
          <t>✔ Kiểm tra: Túi của cửa hàng PENDING không hiện</t>
        </is>
      </c>
      <c r="E30" s="34" t="n"/>
      <c r="F30" s="34" t="n"/>
      <c r="G30" s="34" t="n"/>
      <c r="H30" s="36" t="b">
        <v>0</v>
      </c>
      <c r="I30" s="37" t="n"/>
      <c r="J30" s="38" t="n"/>
      <c r="K30" s="38" t="n"/>
      <c r="L30" s="33" t="n">
        <v>2</v>
      </c>
    </row>
    <row r="31">
      <c r="A31" s="49" t="inlineStr">
        <is>
          <t>B2</t>
        </is>
      </c>
      <c r="B31" s="49" t="inlineStr">
        <is>
          <t>2</t>
        </is>
      </c>
      <c r="C31" s="49" t="inlineStr">
        <is>
          <t>Trang chủ</t>
        </is>
      </c>
      <c r="D31" s="49" t="inlineStr"/>
      <c r="E31" s="49" t="inlineStr">
        <is>
          <t>B1, B14</t>
        </is>
      </c>
      <c r="F31" s="49" t="inlineStr">
        <is>
          <t>Trang chủ chạy dữ liệu thật</t>
        </is>
      </c>
      <c r="G31" s="49" t="inlineStr">
        <is>
          <t>6</t>
        </is>
      </c>
      <c r="H31" s="50" t="n"/>
      <c r="I31" s="50" t="n"/>
      <c r="J31" s="50" t="n"/>
      <c r="K31" s="50" t="n"/>
      <c r="L31" s="51" t="n">
        <v>2</v>
      </c>
    </row>
    <row r="32">
      <c r="A32" s="33" t="inlineStr">
        <is>
          <t>B2</t>
        </is>
      </c>
      <c r="B32" s="33" t="inlineStr">
        <is>
          <t>2</t>
        </is>
      </c>
      <c r="C32" s="34" t="n"/>
      <c r="D32" s="35" t="inlineStr">
        <is>
          <t>Nối CategoryStrip, lưới BatchCard với API.</t>
        </is>
      </c>
      <c r="E32" s="34" t="n"/>
      <c r="F32" s="34" t="n"/>
      <c r="G32" s="34" t="n"/>
      <c r="H32" s="36" t="b">
        <v>0</v>
      </c>
      <c r="I32" s="37" t="n"/>
      <c r="J32" s="38" t="n"/>
      <c r="K32" s="38" t="n"/>
      <c r="L32" s="33" t="n">
        <v>2</v>
      </c>
    </row>
    <row r="33">
      <c r="A33" s="33" t="inlineStr">
        <is>
          <t>B2</t>
        </is>
      </c>
      <c r="B33" s="33" t="inlineStr">
        <is>
          <t>2</t>
        </is>
      </c>
      <c r="C33" s="34" t="n"/>
      <c r="D33" s="35" t="inlineStr">
        <is>
          <t>Tab "Danh sách / Bản đồ", chọn bán kính, sắp xếp, "Xem thêm".</t>
        </is>
      </c>
      <c r="E33" s="34" t="n"/>
      <c r="F33" s="34" t="n"/>
      <c r="G33" s="34" t="n"/>
      <c r="H33" s="36" t="b">
        <v>0</v>
      </c>
      <c r="I33" s="37" t="n"/>
      <c r="J33" s="38" t="n"/>
      <c r="K33" s="38" t="n"/>
      <c r="L33" s="33" t="n">
        <v>2</v>
      </c>
    </row>
    <row r="34">
      <c r="A34" s="33" t="inlineStr">
        <is>
          <t>B2</t>
        </is>
      </c>
      <c r="B34" s="33" t="inlineStr">
        <is>
          <t>2</t>
        </is>
      </c>
      <c r="C34" s="34" t="n"/>
      <c r="D34" s="35" t="inlineStr">
        <is>
          <t>Trạng thái đang tải (Skeleton), trạng thái rỗng.</t>
        </is>
      </c>
      <c r="E34" s="34" t="n"/>
      <c r="F34" s="34" t="n"/>
      <c r="G34" s="34" t="n"/>
      <c r="H34" s="36" t="b">
        <v>0</v>
      </c>
      <c r="I34" s="37" t="n"/>
      <c r="J34" s="38" t="n"/>
      <c r="K34" s="38" t="n"/>
      <c r="L34" s="33" t="n">
        <v>2</v>
      </c>
    </row>
    <row r="35">
      <c r="A35" s="33" t="inlineStr">
        <is>
          <t>B2</t>
        </is>
      </c>
      <c r="B35" s="33" t="inlineStr">
        <is>
          <t>2</t>
        </is>
      </c>
      <c r="C35" s="34" t="n"/>
      <c r="D35" s="39" t="inlineStr">
        <is>
          <t>✔ Kiểm tra: Lọc danh mục đúng</t>
        </is>
      </c>
      <c r="E35" s="34" t="n"/>
      <c r="F35" s="34" t="n"/>
      <c r="G35" s="34" t="n"/>
      <c r="H35" s="36" t="b">
        <v>0</v>
      </c>
      <c r="I35" s="37" t="n"/>
      <c r="J35" s="38" t="n"/>
      <c r="K35" s="38" t="n"/>
      <c r="L35" s="33" t="n">
        <v>2</v>
      </c>
    </row>
    <row r="36">
      <c r="A36" s="49" t="inlineStr">
        <is>
          <t>B3</t>
        </is>
      </c>
      <c r="B36" s="49" t="inlineStr">
        <is>
          <t>3</t>
        </is>
      </c>
      <c r="C36" s="49" t="inlineStr">
        <is>
          <t>Tính khoảng cách</t>
        </is>
      </c>
      <c r="D36" s="49" t="inlineStr"/>
      <c r="E36" s="49" t="inlineStr">
        <is>
          <t>B1</t>
        </is>
      </c>
      <c r="F36" s="49" t="inlineStr">
        <is>
          <t>Mọi thẻ túi có khoảng cách</t>
        </is>
      </c>
      <c r="G36" s="49" t="inlineStr">
        <is>
          <t>9</t>
        </is>
      </c>
      <c r="H36" s="50" t="n"/>
      <c r="I36" s="50" t="n"/>
      <c r="J36" s="50" t="n"/>
      <c r="K36" s="50" t="n"/>
      <c r="L36" s="51" t="n">
        <v>3</v>
      </c>
    </row>
    <row r="37">
      <c r="A37" s="33" t="inlineStr">
        <is>
          <t>B3</t>
        </is>
      </c>
      <c r="B37" s="33" t="inlineStr">
        <is>
          <t>3</t>
        </is>
      </c>
      <c r="C37" s="34" t="n"/>
      <c r="D37" s="35" t="inlineStr">
        <is>
          <t>Lọc cửa hàng bằng ST_Distance_Sphere trong bán kính (≤ 30).</t>
        </is>
      </c>
      <c r="E37" s="34" t="n"/>
      <c r="F37" s="34" t="n"/>
      <c r="G37" s="34" t="n"/>
      <c r="H37" s="36" t="b">
        <v>0</v>
      </c>
      <c r="I37" s="37" t="n"/>
      <c r="J37" s="38" t="n"/>
      <c r="K37" s="38" t="n"/>
      <c r="L37" s="33" t="n">
        <v>3</v>
      </c>
    </row>
    <row r="38">
      <c r="A38" s="33" t="inlineStr">
        <is>
          <t>B3</t>
        </is>
      </c>
      <c r="B38" s="33" t="inlineStr">
        <is>
          <t>3</t>
        </is>
      </c>
      <c r="C38" s="34" t="n"/>
      <c r="D38" s="35" t="inlineStr">
        <is>
          <t>Gọi OSRM 1 lần, timeout 2 giây.</t>
        </is>
      </c>
      <c r="E38" s="34" t="n"/>
      <c r="F38" s="34" t="n"/>
      <c r="G38" s="34" t="n"/>
      <c r="H38" s="36" t="b">
        <v>0</v>
      </c>
      <c r="I38" s="37" t="n"/>
      <c r="J38" s="38" t="n"/>
      <c r="K38" s="38" t="n"/>
      <c r="L38" s="33" t="n">
        <v>3</v>
      </c>
    </row>
    <row r="39">
      <c r="A39" s="33" t="inlineStr">
        <is>
          <t>B3</t>
        </is>
      </c>
      <c r="B39" s="33" t="inlineStr">
        <is>
          <t>3</t>
        </is>
      </c>
      <c r="C39" s="34" t="n"/>
      <c r="D39" s="35" t="inlineStr">
        <is>
          <t>Lỗi thì dùng chim bay × 1,3 và estimated = true.</t>
        </is>
      </c>
      <c r="E39" s="34" t="n"/>
      <c r="F39" s="34" t="n"/>
      <c r="G39" s="34" t="n"/>
      <c r="H39" s="36" t="b">
        <v>0</v>
      </c>
      <c r="I39" s="37" t="n"/>
      <c r="J39" s="38" t="n"/>
      <c r="K39" s="38" t="n"/>
      <c r="L39" s="33" t="n">
        <v>3</v>
      </c>
    </row>
    <row r="40">
      <c r="A40" s="33" t="inlineStr">
        <is>
          <t>B3</t>
        </is>
      </c>
      <c r="B40" s="33" t="inlineStr">
        <is>
          <t>3</t>
        </is>
      </c>
      <c r="C40" s="34" t="n"/>
      <c r="D40" s="35" t="inlineStr">
        <is>
          <t>Sắp xếp "gần nhất".</t>
        </is>
      </c>
      <c r="E40" s="34" t="n"/>
      <c r="F40" s="34" t="n"/>
      <c r="G40" s="34" t="n"/>
      <c r="H40" s="36" t="b">
        <v>0</v>
      </c>
      <c r="I40" s="37" t="n"/>
      <c r="J40" s="38" t="n"/>
      <c r="K40" s="38" t="n"/>
      <c r="L40" s="33" t="n">
        <v>3</v>
      </c>
    </row>
    <row r="41">
      <c r="A41" s="33" t="inlineStr">
        <is>
          <t>B3</t>
        </is>
      </c>
      <c r="B41" s="33" t="inlineStr">
        <is>
          <t>3</t>
        </is>
      </c>
      <c r="C41" s="34" t="n"/>
      <c r="D41" s="35" t="inlineStr">
        <is>
          <t>Unit test trường hợp OSRM lỗi.</t>
        </is>
      </c>
      <c r="E41" s="34" t="n"/>
      <c r="F41" s="34" t="n"/>
      <c r="G41" s="34" t="n"/>
      <c r="H41" s="36" t="b">
        <v>0</v>
      </c>
      <c r="I41" s="37" t="n"/>
      <c r="J41" s="38" t="n"/>
      <c r="K41" s="38" t="n"/>
      <c r="L41" s="33" t="n">
        <v>3</v>
      </c>
    </row>
    <row r="42">
      <c r="A42" s="33" t="inlineStr">
        <is>
          <t>B3</t>
        </is>
      </c>
      <c r="B42" s="33" t="inlineStr">
        <is>
          <t>3</t>
        </is>
      </c>
      <c r="C42" s="34" t="n"/>
      <c r="D42" s="39" t="inlineStr">
        <is>
          <t>✔ Kiểm tra: TC06</t>
        </is>
      </c>
      <c r="E42" s="34" t="n"/>
      <c r="F42" s="34" t="n"/>
      <c r="G42" s="34" t="n"/>
      <c r="H42" s="36" t="b">
        <v>0</v>
      </c>
      <c r="I42" s="37" t="n"/>
      <c r="J42" s="38" t="n"/>
      <c r="K42" s="38" t="n"/>
      <c r="L42" s="33" t="n">
        <v>3</v>
      </c>
    </row>
    <row r="43">
      <c r="A43" s="49" t="inlineStr">
        <is>
          <t>B4</t>
        </is>
      </c>
      <c r="B43" s="49" t="inlineStr">
        <is>
          <t>3</t>
        </is>
      </c>
      <c r="C43" s="49" t="inlineStr">
        <is>
          <t>Vị trí người dùng</t>
        </is>
      </c>
      <c r="D43" s="49" t="inlineStr"/>
      <c r="E43" s="49" t="inlineStr">
        <is>
          <t>B3</t>
        </is>
      </c>
      <c r="F43" s="49" t="inlineStr">
        <is>
          <t>Khoảng cách theo đúng vị trí người dùng</t>
        </is>
      </c>
      <c r="G43" s="49" t="inlineStr">
        <is>
          <t>4</t>
        </is>
      </c>
      <c r="H43" s="50" t="n"/>
      <c r="I43" s="50" t="n"/>
      <c r="J43" s="50" t="n"/>
      <c r="K43" s="50" t="n"/>
      <c r="L43" s="51" t="n">
        <v>3</v>
      </c>
    </row>
    <row r="44">
      <c r="A44" s="33" t="inlineStr">
        <is>
          <t>B4</t>
        </is>
      </c>
      <c r="B44" s="33" t="inlineStr">
        <is>
          <t>3</t>
        </is>
      </c>
      <c r="C44" s="34" t="n"/>
      <c r="D44" s="35" t="inlineStr">
        <is>
          <t>Hook useGeolocation (lỗi thì dùng trung tâm TP.HCM), lưu localStorage.</t>
        </is>
      </c>
      <c r="E44" s="34" t="n"/>
      <c r="F44" s="34" t="n"/>
      <c r="G44" s="34" t="n"/>
      <c r="H44" s="36" t="b">
        <v>0</v>
      </c>
      <c r="I44" s="37" t="n"/>
      <c r="J44" s="38" t="n"/>
      <c r="K44" s="38" t="n"/>
      <c r="L44" s="33" t="n">
        <v>3</v>
      </c>
    </row>
    <row r="45">
      <c r="A45" s="33" t="inlineStr">
        <is>
          <t>B4</t>
        </is>
      </c>
      <c r="B45" s="33" t="inlineStr">
        <is>
          <t>3</t>
        </is>
      </c>
      <c r="C45" s="34" t="n"/>
      <c r="D45" s="35" t="inlineStr">
        <is>
          <t>"Vị trí nhận hàng" trên SiteHeader: hiện địa chỉ, bấm để chọn lại trên bản đồ.</t>
        </is>
      </c>
      <c r="E45" s="34" t="n"/>
      <c r="F45" s="34" t="n"/>
      <c r="G45" s="34" t="n"/>
      <c r="H45" s="36" t="b">
        <v>0</v>
      </c>
      <c r="I45" s="37" t="n"/>
      <c r="J45" s="38" t="n"/>
      <c r="K45" s="38" t="n"/>
      <c r="L45" s="33" t="n">
        <v>3</v>
      </c>
    </row>
    <row r="46">
      <c r="A46" s="33" t="inlineStr">
        <is>
          <t>B4</t>
        </is>
      </c>
      <c r="B46" s="33" t="inlineStr">
        <is>
          <t>3</t>
        </is>
      </c>
      <c r="C46" s="34" t="n"/>
      <c r="D46" s="39" t="inlineStr">
        <is>
          <t>✔ Kiểm tra: Từ chối quyền vị trí vẫn dùng được</t>
        </is>
      </c>
      <c r="E46" s="34" t="n"/>
      <c r="F46" s="34" t="n"/>
      <c r="G46" s="34" t="n"/>
      <c r="H46" s="36" t="b">
        <v>0</v>
      </c>
      <c r="I46" s="37" t="n"/>
      <c r="J46" s="38" t="n"/>
      <c r="K46" s="38" t="n"/>
      <c r="L46" s="33" t="n">
        <v>3</v>
      </c>
    </row>
    <row r="47">
      <c r="A47" s="49" t="inlineStr">
        <is>
          <t>B12</t>
        </is>
      </c>
      <c r="B47" s="49" t="inlineStr">
        <is>
          <t>3</t>
        </is>
      </c>
      <c r="C47" s="49" t="inlineStr">
        <is>
          <t>Admin danh mục</t>
        </is>
      </c>
      <c r="D47" s="49" t="inlineStr"/>
      <c r="E47" s="49" t="inlineStr">
        <is>
          <t>F6</t>
        </is>
      </c>
      <c r="F47" s="49" t="inlineStr">
        <is>
          <t>Admin quản lý danh mục</t>
        </is>
      </c>
      <c r="G47" s="49" t="inlineStr">
        <is>
          <t>5</t>
        </is>
      </c>
      <c r="H47" s="50" t="n"/>
      <c r="I47" s="50" t="n"/>
      <c r="J47" s="50" t="n"/>
      <c r="K47" s="50" t="n"/>
      <c r="L47" s="51" t="n">
        <v>3</v>
      </c>
    </row>
    <row r="48">
      <c r="A48" s="33" t="inlineStr">
        <is>
          <t>B12</t>
        </is>
      </c>
      <c r="B48" s="33" t="inlineStr">
        <is>
          <t>3</t>
        </is>
      </c>
      <c r="C48" s="34" t="n"/>
      <c r="D48" s="35" t="inlineStr">
        <is>
          <t>CRUD /api/admin/categories có ảnh và thứ tự; không xoá được danh mục đang có túi; trang /admin/categories.</t>
        </is>
      </c>
      <c r="E48" s="34" t="n"/>
      <c r="F48" s="34" t="n"/>
      <c r="G48" s="34" t="n"/>
      <c r="H48" s="36" t="b">
        <v>0</v>
      </c>
      <c r="I48" s="37" t="n"/>
      <c r="J48" s="38" t="n"/>
      <c r="K48" s="38" t="n"/>
      <c r="L48" s="33" t="n">
        <v>3</v>
      </c>
    </row>
    <row r="49">
      <c r="A49" s="33" t="inlineStr">
        <is>
          <t>B12</t>
        </is>
      </c>
      <c r="B49" s="33" t="inlineStr">
        <is>
          <t>3</t>
        </is>
      </c>
      <c r="C49" s="34" t="n"/>
      <c r="D49" s="39" t="inlineStr">
        <is>
          <t>✔ Kiểm tra: Đổi thứ tự → thanh danh mục đổi theo</t>
        </is>
      </c>
      <c r="E49" s="34" t="n"/>
      <c r="F49" s="34" t="n"/>
      <c r="G49" s="34" t="n"/>
      <c r="H49" s="36" t="b">
        <v>0</v>
      </c>
      <c r="I49" s="37" t="n"/>
      <c r="J49" s="38" t="n"/>
      <c r="K49" s="38" t="n"/>
      <c r="L49" s="33" t="n">
        <v>3</v>
      </c>
    </row>
    <row r="50">
      <c r="A50" s="49" t="inlineStr">
        <is>
          <t>B5</t>
        </is>
      </c>
      <c r="B50" s="49" t="inlineStr">
        <is>
          <t>4</t>
        </is>
      </c>
      <c r="C50" s="49" t="inlineStr">
        <is>
          <t>Trang bản đồ</t>
        </is>
      </c>
      <c r="D50" s="49" t="inlineStr"/>
      <c r="E50" s="49" t="inlineStr">
        <is>
          <t>B3</t>
        </is>
      </c>
      <c r="F50" s="49" t="inlineStr">
        <is>
          <t>Tìm túi trên bản đồ</t>
        </is>
      </c>
      <c r="G50" s="49" t="inlineStr">
        <is>
          <t>7</t>
        </is>
      </c>
      <c r="H50" s="50" t="n"/>
      <c r="I50" s="50" t="n"/>
      <c r="J50" s="50" t="n"/>
      <c r="K50" s="50" t="n"/>
      <c r="L50" s="51" t="n">
        <v>4</v>
      </c>
    </row>
    <row r="51">
      <c r="A51" s="33" t="inlineStr">
        <is>
          <t>B5</t>
        </is>
      </c>
      <c r="B51" s="33" t="inlineStr">
        <is>
          <t>4</t>
        </is>
      </c>
      <c r="C51" s="34" t="n"/>
      <c r="D51" s="35" t="inlineStr">
        <is>
          <t>/map: vị trí tôi + vòng bán kính, marker cửa hàng, popup (tên, số túi, khoảng cách, link), nút chọn vị trí khác.</t>
        </is>
      </c>
      <c r="E51" s="34" t="n"/>
      <c r="F51" s="34" t="n"/>
      <c r="G51" s="34" t="n"/>
      <c r="H51" s="36" t="b">
        <v>0</v>
      </c>
      <c r="I51" s="37" t="n"/>
      <c r="J51" s="38" t="n"/>
      <c r="K51" s="38" t="n"/>
      <c r="L51" s="33" t="n">
        <v>4</v>
      </c>
    </row>
    <row r="52">
      <c r="A52" s="33" t="inlineStr">
        <is>
          <t>B5</t>
        </is>
      </c>
      <c r="B52" s="33" t="inlineStr">
        <is>
          <t>4</t>
        </is>
      </c>
      <c r="C52" s="34" t="n"/>
      <c r="D52" s="39" t="inlineStr">
        <is>
          <t>✔ Kiểm tra: Marker khớp danh sách</t>
        </is>
      </c>
      <c r="E52" s="34" t="n"/>
      <c r="F52" s="34" t="n"/>
      <c r="G52" s="34" t="n"/>
      <c r="H52" s="36" t="b">
        <v>0</v>
      </c>
      <c r="I52" s="37" t="n"/>
      <c r="J52" s="38" t="n"/>
      <c r="K52" s="38" t="n"/>
      <c r="L52" s="33" t="n">
        <v>4</v>
      </c>
    </row>
    <row r="53">
      <c r="A53" s="49" t="inlineStr">
        <is>
          <t>B6</t>
        </is>
      </c>
      <c r="B53" s="49" t="inlineStr">
        <is>
          <t>4</t>
        </is>
      </c>
      <c r="C53" s="49" t="inlineStr">
        <is>
          <t>Chi tiết túi</t>
        </is>
      </c>
      <c r="D53" s="49" t="inlineStr"/>
      <c r="E53" s="49" t="inlineStr">
        <is>
          <t>B1, O4</t>
        </is>
      </c>
      <c r="F53" s="49" t="inlineStr">
        <is>
          <t>Thêm vào giỏ từ trang chi tiết</t>
        </is>
      </c>
      <c r="G53" s="49" t="inlineStr">
        <is>
          <t>6</t>
        </is>
      </c>
      <c r="H53" s="50" t="n"/>
      <c r="I53" s="50" t="n"/>
      <c r="J53" s="50" t="n"/>
      <c r="K53" s="50" t="n"/>
      <c r="L53" s="51" t="n">
        <v>4</v>
      </c>
    </row>
    <row r="54">
      <c r="A54" s="33" t="inlineStr">
        <is>
          <t>B6</t>
        </is>
      </c>
      <c r="B54" s="33" t="inlineStr">
        <is>
          <t>4</t>
        </is>
      </c>
      <c r="C54" s="34" t="n"/>
      <c r="D54" s="35" t="inlineStr">
        <is>
          <t>GET /api/batches/{id}?lat&amp;lng.</t>
        </is>
      </c>
      <c r="E54" s="34" t="n"/>
      <c r="F54" s="34" t="n"/>
      <c r="G54" s="34" t="n"/>
      <c r="H54" s="36" t="b">
        <v>0</v>
      </c>
      <c r="I54" s="37" t="n"/>
      <c r="J54" s="38" t="n"/>
      <c r="K54" s="38" t="n"/>
      <c r="L54" s="33" t="n">
        <v>4</v>
      </c>
    </row>
    <row r="55">
      <c r="A55" s="33" t="inlineStr">
        <is>
          <t>B6</t>
        </is>
      </c>
      <c r="B55" s="33" t="inlineStr">
        <is>
          <t>4</t>
        </is>
      </c>
      <c r="C55" s="34" t="n"/>
      <c r="D55" s="35" t="inlineStr">
        <is>
          <t>Trang /batches/:id: ảnh, mô tả, PriceTag, còn lại, khung giờ, bản đồ nhỏ, khoảng cách, đánh giá; chọn số lượng + &lt;AddToCartButton&gt; của TV4.</t>
        </is>
      </c>
      <c r="E55" s="34" t="n"/>
      <c r="F55" s="34" t="n"/>
      <c r="G55" s="34" t="n"/>
      <c r="H55" s="36" t="b">
        <v>0</v>
      </c>
      <c r="I55" s="37" t="n"/>
      <c r="J55" s="38" t="n"/>
      <c r="K55" s="38" t="n"/>
      <c r="L55" s="33" t="n">
        <v>4</v>
      </c>
    </row>
    <row r="56">
      <c r="A56" s="33" t="inlineStr">
        <is>
          <t>B6</t>
        </is>
      </c>
      <c r="B56" s="33" t="inlineStr">
        <is>
          <t>4</t>
        </is>
      </c>
      <c r="C56" s="34" t="n"/>
      <c r="D56" s="39" t="inlineStr">
        <is>
          <t>✔ Kiểm tra: TC21 trên giao diện</t>
        </is>
      </c>
      <c r="E56" s="34" t="n"/>
      <c r="F56" s="34" t="n"/>
      <c r="G56" s="34" t="n"/>
      <c r="H56" s="36" t="b">
        <v>0</v>
      </c>
      <c r="I56" s="37" t="n"/>
      <c r="J56" s="38" t="n"/>
      <c r="K56" s="38" t="n"/>
      <c r="L56" s="33" t="n">
        <v>4</v>
      </c>
    </row>
    <row r="57">
      <c r="A57" s="49" t="inlineStr">
        <is>
          <t>B7</t>
        </is>
      </c>
      <c r="B57" s="49" t="inlineStr">
        <is>
          <t>5</t>
        </is>
      </c>
      <c r="C57" s="49" t="inlineStr">
        <is>
          <t>Trang cửa hàng</t>
        </is>
      </c>
      <c r="D57" s="49" t="inlineStr"/>
      <c r="E57" s="49" t="inlineStr">
        <is>
          <t>seed</t>
        </is>
      </c>
      <c r="F57" s="49" t="inlineStr">
        <is>
          <t>Trang cửa hàng công khai</t>
        </is>
      </c>
      <c r="G57" s="49" t="inlineStr">
        <is>
          <t>5</t>
        </is>
      </c>
      <c r="H57" s="50" t="n"/>
      <c r="I57" s="50" t="n"/>
      <c r="J57" s="50" t="n"/>
      <c r="K57" s="50" t="n"/>
      <c r="L57" s="51" t="n">
        <v>5</v>
      </c>
    </row>
    <row r="58">
      <c r="A58" s="33" t="inlineStr">
        <is>
          <t>B7</t>
        </is>
      </c>
      <c r="B58" s="33" t="inlineStr">
        <is>
          <t>5</t>
        </is>
      </c>
      <c r="C58" s="34" t="n"/>
      <c r="D58" s="35" t="inlineStr">
        <is>
          <t>GET /api/stores/{id}, /reviews; trang thông tin, túi đang bán, đánh giá.</t>
        </is>
      </c>
      <c r="E58" s="34" t="n"/>
      <c r="F58" s="34" t="n"/>
      <c r="G58" s="34" t="n"/>
      <c r="H58" s="36" t="b">
        <v>0</v>
      </c>
      <c r="I58" s="37" t="n"/>
      <c r="J58" s="38" t="n"/>
      <c r="K58" s="38" t="n"/>
      <c r="L58" s="33" t="n">
        <v>5</v>
      </c>
    </row>
    <row r="59">
      <c r="A59" s="33" t="inlineStr">
        <is>
          <t>B7</t>
        </is>
      </c>
      <c r="B59" s="33" t="inlineStr">
        <is>
          <t>5</t>
        </is>
      </c>
      <c r="C59" s="34" t="n"/>
      <c r="D59" s="39" t="inlineStr">
        <is>
          <t>✔ Kiểm tra: Cửa hàng bị khoá trả 404</t>
        </is>
      </c>
      <c r="E59" s="34" t="n"/>
      <c r="F59" s="34" t="n"/>
      <c r="G59" s="34" t="n"/>
      <c r="H59" s="36" t="b">
        <v>0</v>
      </c>
      <c r="I59" s="37" t="n"/>
      <c r="J59" s="38" t="n"/>
      <c r="K59" s="38" t="n"/>
      <c r="L59" s="33" t="n">
        <v>5</v>
      </c>
    </row>
    <row r="60">
      <c r="A60" s="49" t="inlineStr">
        <is>
          <t>B11</t>
        </is>
      </c>
      <c r="B60" s="49" t="inlineStr">
        <is>
          <t>5</t>
        </is>
      </c>
      <c r="C60" s="49" t="inlineStr">
        <is>
          <t>Dữ liệu demo</t>
        </is>
      </c>
      <c r="D60" s="49" t="inlineStr"/>
      <c r="E60" s="49" t="inlineStr">
        <is>
          <t>—</t>
        </is>
      </c>
      <c r="F60" s="49" t="inlineStr">
        <is>
          <t>Bản đồ, danh sách đầy túi để demo</t>
        </is>
      </c>
      <c r="G60" s="49" t="inlineStr">
        <is>
          <t>4</t>
        </is>
      </c>
      <c r="H60" s="50" t="n"/>
      <c r="I60" s="50" t="n"/>
      <c r="J60" s="50" t="n"/>
      <c r="K60" s="50" t="n"/>
      <c r="L60" s="51" t="n">
        <v>5</v>
      </c>
    </row>
    <row r="61">
      <c r="A61" s="33" t="inlineStr">
        <is>
          <t>B11</t>
        </is>
      </c>
      <c r="B61" s="33" t="inlineStr">
        <is>
          <t>5</t>
        </is>
      </c>
      <c r="C61" s="34" t="n"/>
      <c r="D61" s="35" t="inlineStr">
        <is>
          <t>database/demo_data.sql: khoảng 15 cửa hàng APPROVED rải TP.HCM + 30 túi có khung giờ tối nay, mỗi túi kèm 1 dòng sổ kho LISTED cho khớp số lượng.</t>
        </is>
      </c>
      <c r="E61" s="34" t="n"/>
      <c r="F61" s="34" t="n"/>
      <c r="G61" s="34" t="n"/>
      <c r="H61" s="36" t="b">
        <v>0</v>
      </c>
      <c r="I61" s="37" t="n"/>
      <c r="J61" s="38" t="n"/>
      <c r="K61" s="38" t="n"/>
      <c r="L61" s="33" t="n">
        <v>5</v>
      </c>
    </row>
    <row r="62">
      <c r="A62" s="33" t="inlineStr">
        <is>
          <t>B11</t>
        </is>
      </c>
      <c r="B62" s="33" t="inlineStr">
        <is>
          <t>5</t>
        </is>
      </c>
      <c r="C62" s="34" t="n"/>
      <c r="D62" s="39" t="inlineStr">
        <is>
          <t>✔ Kiểm tra: Chạy xong foodrescue_checks.sql vẫn sạch</t>
        </is>
      </c>
      <c r="E62" s="34" t="n"/>
      <c r="F62" s="34" t="n"/>
      <c r="G62" s="34" t="n"/>
      <c r="H62" s="36" t="b">
        <v>0</v>
      </c>
      <c r="I62" s="37" t="n"/>
      <c r="J62" s="38" t="n"/>
      <c r="K62" s="38" t="n"/>
      <c r="L62" s="33" t="n">
        <v>5</v>
      </c>
    </row>
    <row r="63">
      <c r="A63" s="49" t="inlineStr">
        <is>
          <t>B8</t>
        </is>
      </c>
      <c r="B63" s="49" t="inlineStr">
        <is>
          <t>6</t>
        </is>
      </c>
      <c r="C63" s="49" t="inlineStr">
        <is>
          <t>Đánh giá</t>
        </is>
      </c>
      <c r="D63" s="49" t="inlineStr"/>
      <c r="E63" s="49" t="inlineStr">
        <is>
          <t>seed</t>
        </is>
      </c>
      <c r="F63" s="49" t="inlineStr">
        <is>
          <t>Khách đánh giá được</t>
        </is>
      </c>
      <c r="G63" s="49" t="inlineStr">
        <is>
          <t>7</t>
        </is>
      </c>
      <c r="H63" s="50" t="n"/>
      <c r="I63" s="50" t="n"/>
      <c r="J63" s="50" t="n"/>
      <c r="K63" s="50" t="n"/>
      <c r="L63" s="51" t="n">
        <v>6</v>
      </c>
    </row>
    <row r="64">
      <c r="A64" s="33" t="inlineStr">
        <is>
          <t>B8</t>
        </is>
      </c>
      <c r="B64" s="33" t="inlineStr">
        <is>
          <t>6</t>
        </is>
      </c>
      <c r="C64" s="34" t="n"/>
      <c r="D64" s="35" t="inlineStr">
        <is>
          <t>POST /api/orders/{id}/review: chỉ đơn COMPLETED của mình, 1 lần (REVIEW_NOT_ALLOWED).</t>
        </is>
      </c>
      <c r="E64" s="34" t="n"/>
      <c r="F64" s="34" t="n"/>
      <c r="G64" s="34" t="n"/>
      <c r="H64" s="36" t="b">
        <v>0</v>
      </c>
      <c r="I64" s="37" t="n"/>
      <c r="J64" s="38" t="n"/>
      <c r="K64" s="38" t="n"/>
      <c r="L64" s="33" t="n">
        <v>6</v>
      </c>
    </row>
    <row r="65">
      <c r="A65" s="33" t="inlineStr">
        <is>
          <t>B8</t>
        </is>
      </c>
      <c r="B65" s="33" t="inlineStr">
        <is>
          <t>6</t>
        </is>
      </c>
      <c r="C65" s="34" t="n"/>
      <c r="D65" s="35" t="inlineStr">
        <is>
          <t>&lt;ReviewButton&gt; (modal chấm sao) giao cho TV4.</t>
        </is>
      </c>
      <c r="E65" s="34" t="n"/>
      <c r="F65" s="34" t="n"/>
      <c r="G65" s="34" t="n"/>
      <c r="H65" s="36" t="b">
        <v>0</v>
      </c>
      <c r="I65" s="37" t="n"/>
      <c r="J65" s="38" t="n"/>
      <c r="K65" s="38" t="n"/>
      <c r="L65" s="33" t="n">
        <v>6</v>
      </c>
    </row>
    <row r="66">
      <c r="A66" s="33" t="inlineStr">
        <is>
          <t>B8</t>
        </is>
      </c>
      <c r="B66" s="33" t="inlineStr">
        <is>
          <t>6</t>
        </is>
      </c>
      <c r="C66" s="34" t="n"/>
      <c r="D66" s="35" t="inlineStr">
        <is>
          <t>Điểm trung bình hiện trên thẻ túi, trang cửa hàng.</t>
        </is>
      </c>
      <c r="E66" s="34" t="n"/>
      <c r="F66" s="34" t="n"/>
      <c r="G66" s="34" t="n"/>
      <c r="H66" s="36" t="b">
        <v>0</v>
      </c>
      <c r="I66" s="37" t="n"/>
      <c r="J66" s="38" t="n"/>
      <c r="K66" s="38" t="n"/>
      <c r="L66" s="33" t="n">
        <v>6</v>
      </c>
    </row>
    <row r="67">
      <c r="A67" s="33" t="inlineStr">
        <is>
          <t>B8</t>
        </is>
      </c>
      <c r="B67" s="33" t="inlineStr">
        <is>
          <t>6</t>
        </is>
      </c>
      <c r="C67" s="34" t="n"/>
      <c r="D67" s="39" t="inlineStr">
        <is>
          <t>✔ Kiểm tra: TC12; C10 sạch</t>
        </is>
      </c>
      <c r="E67" s="34" t="n"/>
      <c r="F67" s="34" t="n"/>
      <c r="G67" s="34" t="n"/>
      <c r="H67" s="36" t="b">
        <v>0</v>
      </c>
      <c r="I67" s="37" t="n"/>
      <c r="J67" s="38" t="n"/>
      <c r="K67" s="38" t="n"/>
      <c r="L67" s="33" t="n">
        <v>6</v>
      </c>
    </row>
    <row r="68">
      <c r="A68" s="49" t="inlineStr">
        <is>
          <t>B9</t>
        </is>
      </c>
      <c r="B68" s="49" t="inlineStr">
        <is>
          <t>7</t>
        </is>
      </c>
      <c r="C68" s="49" t="inlineStr">
        <is>
          <t>Hoàn thiện giao diện</t>
        </is>
      </c>
      <c r="D68" s="49" t="inlineStr"/>
      <c r="E68" s="49" t="inlineStr">
        <is>
          <t>—</t>
        </is>
      </c>
      <c r="F68" s="49" t="inlineStr">
        <is>
          <t>Giao diện khách dùng tốt trên điện thoại</t>
        </is>
      </c>
      <c r="G68" s="49" t="inlineStr">
        <is>
          <t>5</t>
        </is>
      </c>
      <c r="H68" s="50" t="n"/>
      <c r="I68" s="50" t="n"/>
      <c r="J68" s="50" t="n"/>
      <c r="K68" s="50" t="n"/>
      <c r="L68" s="51" t="n">
        <v>7</v>
      </c>
    </row>
    <row r="69">
      <c r="A69" s="33" t="inlineStr">
        <is>
          <t>B9</t>
        </is>
      </c>
      <c r="B69" s="33" t="inlineStr">
        <is>
          <t>7</t>
        </is>
      </c>
      <c r="C69" s="34" t="n"/>
      <c r="D69" s="35" t="inlineStr">
        <is>
          <t>Kiểm tra mọi trang khách ở 375px; trạng thái rỗng, lỗi; directionsUrl trong shared/utils/maps.js cho TV4; favicon, tiêu đề trang.</t>
        </is>
      </c>
      <c r="E69" s="34" t="n"/>
      <c r="F69" s="34" t="n"/>
      <c r="G69" s="34" t="n"/>
      <c r="H69" s="36" t="b">
        <v>0</v>
      </c>
      <c r="I69" s="37" t="n"/>
      <c r="J69" s="38" t="n"/>
      <c r="K69" s="38" t="n"/>
      <c r="L69" s="33" t="n">
        <v>7</v>
      </c>
    </row>
    <row r="70">
      <c r="A70" s="33" t="inlineStr">
        <is>
          <t>B9</t>
        </is>
      </c>
      <c r="B70" s="33" t="inlineStr">
        <is>
          <t>7</t>
        </is>
      </c>
      <c r="C70" s="34" t="n"/>
      <c r="D70" s="39" t="inlineStr">
        <is>
          <t>✔ Kiểm tra: Buổi review giao diện cuối tuần 7</t>
        </is>
      </c>
      <c r="E70" s="34" t="n"/>
      <c r="F70" s="34" t="n"/>
      <c r="G70" s="34" t="n"/>
      <c r="H70" s="36" t="b">
        <v>0</v>
      </c>
      <c r="I70" s="37" t="n"/>
      <c r="J70" s="38" t="n"/>
      <c r="K70" s="38" t="n"/>
      <c r="L70" s="33" t="n">
        <v>7</v>
      </c>
    </row>
    <row r="71">
      <c r="A71" s="49" t="inlineStr">
        <is>
          <t>B13</t>
        </is>
      </c>
      <c r="B71" s="49" t="inlineStr">
        <is>
          <t>7</t>
        </is>
      </c>
      <c r="C71" s="49" t="inlineStr">
        <is>
          <t>Thống kê chung</t>
        </is>
      </c>
      <c r="D71" s="49" t="inlineStr"/>
      <c r="E71" s="49" t="inlineStr">
        <is>
          <t>seed</t>
        </is>
      </c>
      <c r="F71" s="49" t="inlineStr">
        <is>
          <t>Trang tổng quan admin</t>
        </is>
      </c>
      <c r="G71" s="49" t="inlineStr">
        <is>
          <t>7</t>
        </is>
      </c>
      <c r="H71" s="50" t="n"/>
      <c r="I71" s="50" t="n"/>
      <c r="J71" s="50" t="n"/>
      <c r="K71" s="50" t="n"/>
      <c r="L71" s="51" t="n">
        <v>7</v>
      </c>
    </row>
    <row r="72">
      <c r="A72" s="33" t="inlineStr">
        <is>
          <t>B13</t>
        </is>
      </c>
      <c r="B72" s="33" t="inlineStr">
        <is>
          <t>7</t>
        </is>
      </c>
      <c r="C72" s="34" t="n"/>
      <c r="D72" s="35" t="inlineStr">
        <is>
          <t>GET /api/admin/dashboard?from&amp;to: tổng đơn, GMV, túi đã cứu, số cửa hàng, số khách; trang /admin có StatCard + biểu đồ.</t>
        </is>
      </c>
      <c r="E72" s="34" t="n"/>
      <c r="F72" s="34" t="n"/>
      <c r="G72" s="34" t="n"/>
      <c r="H72" s="36" t="b">
        <v>0</v>
      </c>
      <c r="I72" s="37" t="n"/>
      <c r="J72" s="38" t="n"/>
      <c r="K72" s="38" t="n"/>
      <c r="L72" s="33" t="n">
        <v>7</v>
      </c>
    </row>
    <row r="73">
      <c r="A73" s="33" t="inlineStr">
        <is>
          <t>B13</t>
        </is>
      </c>
      <c r="B73" s="33" t="inlineStr">
        <is>
          <t>7</t>
        </is>
      </c>
      <c r="C73" s="34" t="n"/>
      <c r="D73" s="39" t="inlineStr">
        <is>
          <t>✔ Kiểm tra: Số liệu khớp câu C13</t>
        </is>
      </c>
      <c r="E73" s="34" t="n"/>
      <c r="F73" s="34" t="n"/>
      <c r="G73" s="34" t="n"/>
      <c r="H73" s="36" t="b">
        <v>0</v>
      </c>
      <c r="I73" s="37" t="n"/>
      <c r="J73" s="38" t="n"/>
      <c r="K73" s="38" t="n"/>
      <c r="L73" s="33" t="n">
        <v>7</v>
      </c>
    </row>
    <row r="74">
      <c r="A74" s="49" t="inlineStr">
        <is>
          <t>B10</t>
        </is>
      </c>
      <c r="B74" s="49" t="inlineStr">
        <is>
          <t>8</t>
        </is>
      </c>
      <c r="C74" s="49" t="inlineStr">
        <is>
          <t>Test chéo, báo cáo</t>
        </is>
      </c>
      <c r="D74" s="49" t="inlineStr"/>
      <c r="E74" s="49" t="inlineStr">
        <is>
          <t>—</t>
        </is>
      </c>
      <c r="F74" s="49" t="inlineStr">
        <is>
          <t>Danh sách lỗi; phần báo cáo</t>
        </is>
      </c>
      <c r="G74" s="49" t="inlineStr">
        <is>
          <t>5</t>
        </is>
      </c>
      <c r="H74" s="50" t="n"/>
      <c r="I74" s="50" t="n"/>
      <c r="J74" s="50" t="n"/>
      <c r="K74" s="50" t="n"/>
      <c r="L74" s="51" t="n">
        <v>8</v>
      </c>
    </row>
    <row r="75">
      <c r="A75" s="33" t="inlineStr">
        <is>
          <t>B10</t>
        </is>
      </c>
      <c r="B75" s="33" t="inlineStr">
        <is>
          <t>8</t>
        </is>
      </c>
      <c r="C75" s="34" t="n"/>
      <c r="D75" s="35" t="inlineStr">
        <is>
          <t>Test module TV2 (TC09, TC18, TC23, TC26); sửa lỗi của mình; viết phần báo cáo bản đồ, khoảng cách, giao diện.</t>
        </is>
      </c>
      <c r="E75" s="34" t="n"/>
      <c r="F75" s="34" t="n"/>
      <c r="G75" s="34" t="n"/>
      <c r="H75" s="36" t="b">
        <v>0</v>
      </c>
      <c r="I75" s="37" t="n"/>
      <c r="J75" s="38" t="n"/>
      <c r="K75" s="38" t="n"/>
      <c r="L75" s="33" t="n">
        <v>8</v>
      </c>
    </row>
  </sheetData>
  <autoFilter ref="A5:L75"/>
  <mergeCells count="2">
    <mergeCell ref="H2:I2"/>
    <mergeCell ref="B2:D2"/>
  </mergeCells>
  <conditionalFormatting sqref="A6:K75">
    <cfRule type="expression" priority="1" dxfId="1">
      <formula>$H6=TRUE</formula>
    </cfRule>
  </conditionalFormatting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7B4BC4"/>
    <outlinePr summaryBelow="1" summaryRight="1"/>
    <pageSetUpPr/>
  </sheetPr>
  <dimension ref="A1:L6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70" customWidth="1" min="4" max="4"/>
    <col width="12" customWidth="1" min="5" max="5"/>
    <col width="46" customWidth="1" min="6" max="6"/>
    <col width="6" customWidth="1" min="7" max="7"/>
    <col width="7" customWidth="1" min="8" max="8"/>
    <col width="12" customWidth="1" min="9" max="9"/>
    <col width="22" customWidth="1" min="10" max="10"/>
    <col width="22" customWidth="1" min="11" max="11"/>
    <col width="7" customWidth="1" min="12" max="12"/>
  </cols>
  <sheetData>
    <row r="1">
      <c r="A1" s="52" t="inlineStr">
        <is>
          <t>Checklist TV4 · Giỏ hàng, Đơn, Thanh toán, Giao hàng</t>
        </is>
      </c>
    </row>
    <row r="2">
      <c r="A2" s="24" t="inlineStr">
        <is>
          <t>Thành viên:</t>
        </is>
      </c>
      <c r="B2" s="25" t="n"/>
      <c r="F2" s="26" t="inlineStr">
        <is>
          <t>Tiến độ:</t>
        </is>
      </c>
      <c r="G2" s="53">
        <f>IFERROR(COUNTIF($H$6:$H$68,TRUE)/(COUNTIF($H$6:$H$68,TRUE)+COUNTIF($H$6:$H$68,FALSE)),0)</f>
        <v/>
      </c>
      <c r="H2" s="28">
        <f>COUNTIF($H$6:$H$68,TRUE)&amp;"/"&amp;(COUNTIF($H$6:$H$68,TRUE)+COUNTIF($H$6:$H$68,FALSE))&amp;" bước"</f>
        <v/>
      </c>
    </row>
    <row r="3">
      <c r="A3" s="6" t="inlineStr">
        <is>
          <t>Tick cột "Xong" khi làm xong từng bước. Ô vàng là ô được sửa. Xem sheet "Hướng dẫn".</t>
        </is>
      </c>
    </row>
    <row r="5">
      <c r="A5" s="54" t="inlineStr">
        <is>
          <t>Mã</t>
        </is>
      </c>
      <c r="B5" s="54" t="inlineStr">
        <is>
          <t>Tuần</t>
        </is>
      </c>
      <c r="C5" s="54" t="inlineStr">
        <is>
          <t>Việc</t>
        </is>
      </c>
      <c r="D5" s="54" t="inlineStr">
        <is>
          <t>Bước cần làm</t>
        </is>
      </c>
      <c r="E5" s="54" t="inlineStr">
        <is>
          <t>Cần có trước</t>
        </is>
      </c>
      <c r="F5" s="54" t="inlineStr">
        <is>
          <t>Kết quả bàn giao / cách kiểm tra</t>
        </is>
      </c>
      <c r="G5" s="54" t="inlineStr">
        <is>
          <t>Giờ</t>
        </is>
      </c>
      <c r="H5" s="54" t="inlineStr">
        <is>
          <t>Xong</t>
        </is>
      </c>
      <c r="I5" s="54" t="inlineStr">
        <is>
          <t>Ngày xong</t>
        </is>
      </c>
      <c r="J5" s="54" t="inlineStr">
        <is>
          <t>Link PR</t>
        </is>
      </c>
      <c r="K5" s="54" t="inlineStr">
        <is>
          <t>Ghi chú</t>
        </is>
      </c>
      <c r="L5" s="54" t="inlineStr">
        <is>
          <t>Tuần số</t>
        </is>
      </c>
    </row>
    <row r="6">
      <c r="A6" s="55" t="inlineStr">
        <is>
          <t>C0</t>
        </is>
      </c>
      <c r="B6" s="55" t="inlineStr">
        <is>
          <t>1 · N1-2</t>
        </is>
      </c>
      <c r="C6" s="55" t="inlineStr">
        <is>
          <t>Chuẩn bị máy (cả nhóm)</t>
        </is>
      </c>
      <c r="D6" s="55" t="inlineStr"/>
      <c r="E6" s="55" t="inlineStr">
        <is>
          <t>—</t>
        </is>
      </c>
      <c r="F6" s="55" t="inlineStr">
        <is>
          <t>Máy chạy được CSDL, backend, frontend</t>
        </is>
      </c>
      <c r="G6" s="55" t="inlineStr">
        <is>
          <t>2</t>
        </is>
      </c>
      <c r="H6" s="56" t="n"/>
      <c r="I6" s="56" t="n"/>
      <c r="J6" s="56" t="n"/>
      <c r="K6" s="56" t="n"/>
      <c r="L6" s="57" t="n">
        <v>1</v>
      </c>
    </row>
    <row r="7">
      <c r="A7" s="33" t="inlineStr">
        <is>
          <t>C0</t>
        </is>
      </c>
      <c r="B7" s="33" t="inlineStr">
        <is>
          <t>1 · N1-2</t>
        </is>
      </c>
      <c r="C7" s="34" t="n"/>
      <c r="D7" s="35" t="inlineStr">
        <is>
          <t>Cài JDK 17+, Maven, Node.js 22, Git, XAMPP, VS Code + extension (Java, Spring Boot, Prettier, EditorConfig)</t>
        </is>
      </c>
      <c r="E7" s="34" t="n"/>
      <c r="F7" s="34" t="n"/>
      <c r="G7" s="34" t="n"/>
      <c r="H7" s="36" t="b">
        <v>0</v>
      </c>
      <c r="I7" s="37" t="n"/>
      <c r="J7" s="38" t="n"/>
      <c r="K7" s="38" t="n"/>
      <c r="L7" s="33" t="n">
        <v>1</v>
      </c>
    </row>
    <row r="8">
      <c r="A8" s="33" t="inlineStr">
        <is>
          <t>C0</t>
        </is>
      </c>
      <c r="B8" s="33" t="inlineStr">
        <is>
          <t>1 · N1-2</t>
        </is>
      </c>
      <c r="C8" s="34" t="n"/>
      <c r="D8" s="35" t="inlineStr">
        <is>
          <t>Clone repo vào thư mục KHÔNG dấu, git checkout develop</t>
        </is>
      </c>
      <c r="E8" s="34" t="n"/>
      <c r="F8" s="34" t="n"/>
      <c r="G8" s="34" t="n"/>
      <c r="H8" s="36" t="b">
        <v>0</v>
      </c>
      <c r="I8" s="37" t="n"/>
      <c r="J8" s="38" t="n"/>
      <c r="K8" s="38" t="n"/>
      <c r="L8" s="33" t="n">
        <v>1</v>
      </c>
    </row>
    <row r="9">
      <c r="A9" s="33" t="inlineStr">
        <is>
          <t>C0</t>
        </is>
      </c>
      <c r="B9" s="33" t="inlineStr">
        <is>
          <t>1 · N1-2</t>
        </is>
      </c>
      <c r="C9" s="34" t="n"/>
      <c r="D9" s="35" t="inlineStr">
        <is>
          <t>Tạo CSDL bằng database/foodrescue_schema.sql (XAMPP), chạy foodrescue_checks.sql thấy sạch</t>
        </is>
      </c>
      <c r="E9" s="34" t="n"/>
      <c r="F9" s="34" t="n"/>
      <c r="G9" s="34" t="n"/>
      <c r="H9" s="36" t="b">
        <v>0</v>
      </c>
      <c r="I9" s="37" t="n"/>
      <c r="J9" s="38" t="n"/>
      <c r="K9" s="38" t="n"/>
      <c r="L9" s="33" t="n">
        <v>1</v>
      </c>
    </row>
    <row r="10">
      <c r="A10" s="33" t="inlineStr">
        <is>
          <t>C0</t>
        </is>
      </c>
      <c r="B10" s="33" t="inlineStr">
        <is>
          <t>1 · N1-2</t>
        </is>
      </c>
      <c r="C10" s="34" t="n"/>
      <c r="D10" s="35" t="inlineStr">
        <is>
          <t>Tạo application-local.yml từ file .example; mvn spring-boot:run; mở /api/ping thấy ok</t>
        </is>
      </c>
      <c r="E10" s="34" t="n"/>
      <c r="F10" s="34" t="n"/>
      <c r="G10" s="34" t="n"/>
      <c r="H10" s="36" t="b">
        <v>0</v>
      </c>
      <c r="I10" s="37" t="n"/>
      <c r="J10" s="38" t="n"/>
      <c r="K10" s="38" t="n"/>
      <c r="L10" s="33" t="n">
        <v>1</v>
      </c>
    </row>
    <row r="11">
      <c r="A11" s="33" t="inlineStr">
        <is>
          <t>C0</t>
        </is>
      </c>
      <c r="B11" s="33" t="inlineStr">
        <is>
          <t>1 · N1-2</t>
        </is>
      </c>
      <c r="C11" s="34" t="n"/>
      <c r="D11" s="35" t="inlineStr">
        <is>
          <t>npm install, npm run dev; mở localhost:5173 thấy "đã nối được backend"</t>
        </is>
      </c>
      <c r="E11" s="34" t="n"/>
      <c r="F11" s="34" t="n"/>
      <c r="G11" s="34" t="n"/>
      <c r="H11" s="36" t="b">
        <v>0</v>
      </c>
      <c r="I11" s="37" t="n"/>
      <c r="J11" s="38" t="n"/>
      <c r="K11" s="38" t="n"/>
      <c r="L11" s="33" t="n">
        <v>1</v>
      </c>
    </row>
    <row r="12">
      <c r="A12" s="33" t="inlineStr">
        <is>
          <t>C0</t>
        </is>
      </c>
      <c r="B12" s="33" t="inlineStr">
        <is>
          <t>1 · N1-2</t>
        </is>
      </c>
      <c r="C12" s="34" t="n"/>
      <c r="D12" s="35" t="inlineStr">
        <is>
          <t>Đọc tài liệu dự án mục 2-5 và toàn bộ Quy ước chung</t>
        </is>
      </c>
      <c r="E12" s="34" t="n"/>
      <c r="F12" s="34" t="n"/>
      <c r="G12" s="34" t="n"/>
      <c r="H12" s="36" t="b">
        <v>0</v>
      </c>
      <c r="I12" s="37" t="n"/>
      <c r="J12" s="38" t="n"/>
      <c r="K12" s="38" t="n"/>
      <c r="L12" s="33" t="n">
        <v>1</v>
      </c>
    </row>
    <row r="13">
      <c r="A13" s="33" t="inlineStr">
        <is>
          <t>C0</t>
        </is>
      </c>
      <c r="B13" s="33" t="inlineStr">
        <is>
          <t>1 · N1-2</t>
        </is>
      </c>
      <c r="C13" s="34" t="n"/>
      <c r="D13" s="35" t="inlineStr">
        <is>
          <t>Tạo nhánh đầu tiên, mở 1 Pull Request thử, thấy CI chạy</t>
        </is>
      </c>
      <c r="E13" s="34" t="n"/>
      <c r="F13" s="34" t="n"/>
      <c r="G13" s="34" t="n"/>
      <c r="H13" s="36" t="b">
        <v>0</v>
      </c>
      <c r="I13" s="37" t="n"/>
      <c r="J13" s="38" t="n"/>
      <c r="K13" s="38" t="n"/>
      <c r="L13" s="33" t="n">
        <v>1</v>
      </c>
    </row>
    <row r="14">
      <c r="A14" s="33" t="inlineStr">
        <is>
          <t>C0</t>
        </is>
      </c>
      <c r="B14" s="33" t="inlineStr">
        <is>
          <t>1 · N1-2</t>
        </is>
      </c>
      <c r="C14" s="34" t="n"/>
      <c r="D14" s="39" t="inlineStr">
        <is>
          <t>✔ Kiểm tra: C0 chênh lệch 0; C1-C12 không trả dòng nào</t>
        </is>
      </c>
      <c r="E14" s="34" t="n"/>
      <c r="F14" s="34" t="n"/>
      <c r="G14" s="34" t="n"/>
      <c r="H14" s="36" t="b">
        <v>0</v>
      </c>
      <c r="I14" s="37" t="n"/>
      <c r="J14" s="38" t="n"/>
      <c r="K14" s="38" t="n"/>
      <c r="L14" s="33" t="n">
        <v>1</v>
      </c>
    </row>
    <row r="15">
      <c r="A15" s="55" t="inlineStr">
        <is>
          <t>O0</t>
        </is>
      </c>
      <c r="B15" s="55" t="inlineStr">
        <is>
          <t>1 · N1-3</t>
        </is>
      </c>
      <c r="C15" s="55" t="inlineStr">
        <is>
          <t>Chuẩn bị VNPay</t>
        </is>
      </c>
      <c r="D15" s="55" t="inlineStr"/>
      <c r="E15" s="55" t="inlineStr">
        <is>
          <t>—</t>
        </is>
      </c>
      <c r="F15" s="55" t="inlineStr">
        <is>
          <t>Hàm ký đúng; đã trả tiền thử thành công</t>
        </is>
      </c>
      <c r="G15" s="55" t="inlineStr">
        <is>
          <t>6</t>
        </is>
      </c>
      <c r="H15" s="56" t="n"/>
      <c r="I15" s="56" t="n"/>
      <c r="J15" s="56" t="n"/>
      <c r="K15" s="56" t="n"/>
      <c r="L15" s="57" t="n">
        <v>1</v>
      </c>
    </row>
    <row r="16">
      <c r="A16" s="33" t="inlineStr">
        <is>
          <t>O0</t>
        </is>
      </c>
      <c r="B16" s="33" t="inlineStr">
        <is>
          <t>1 · N1-3</t>
        </is>
      </c>
      <c r="C16" s="34" t="n"/>
      <c r="D16" s="35" t="inlineStr">
        <is>
          <t>Đăng ký merchant sandbox, nhận vnp_TmnCode, vnp_HashSecret, gửi nhóm qua tin nhắn riêng.</t>
        </is>
      </c>
      <c r="E16" s="34" t="n"/>
      <c r="F16" s="34" t="n"/>
      <c r="G16" s="34" t="n"/>
      <c r="H16" s="36" t="b">
        <v>0</v>
      </c>
      <c r="I16" s="37" t="n"/>
      <c r="J16" s="38" t="n"/>
      <c r="K16" s="38" t="n"/>
      <c r="L16" s="33" t="n">
        <v>1</v>
      </c>
    </row>
    <row r="17">
      <c r="A17" s="33" t="inlineStr">
        <is>
          <t>O0</t>
        </is>
      </c>
      <c r="B17" s="33" t="inlineStr">
        <is>
          <t>1 · N1-3</t>
        </is>
      </c>
      <c r="C17" s="34" t="n"/>
      <c r="D17" s="35" t="inlineStr">
        <is>
          <t>VnPaySigner: sắp xếp tham số, URL-encode, HMAC-SHA512 + unit test.</t>
        </is>
      </c>
      <c r="E17" s="34" t="n"/>
      <c r="F17" s="34" t="n"/>
      <c r="G17" s="34" t="n"/>
      <c r="H17" s="36" t="b">
        <v>0</v>
      </c>
      <c r="I17" s="37" t="n"/>
      <c r="J17" s="38" t="n"/>
      <c r="K17" s="38" t="n"/>
      <c r="L17" s="33" t="n">
        <v>1</v>
      </c>
    </row>
    <row r="18">
      <c r="A18" s="33" t="inlineStr">
        <is>
          <t>O0</t>
        </is>
      </c>
      <c r="B18" s="33" t="inlineStr">
        <is>
          <t>1 · N1-3</t>
        </is>
      </c>
      <c r="C18" s="34" t="n"/>
      <c r="D18" s="35" t="inlineStr">
        <is>
          <t>Tạo 1 link thật, trả bằng thẻ NCB test.</t>
        </is>
      </c>
      <c r="E18" s="34" t="n"/>
      <c r="F18" s="34" t="n"/>
      <c r="G18" s="34" t="n"/>
      <c r="H18" s="36" t="b">
        <v>0</v>
      </c>
      <c r="I18" s="37" t="n"/>
      <c r="J18" s="38" t="n"/>
      <c r="K18" s="38" t="n"/>
      <c r="L18" s="33" t="n">
        <v>1</v>
      </c>
    </row>
    <row r="19">
      <c r="A19" s="33" t="inlineStr">
        <is>
          <t>O0</t>
        </is>
      </c>
      <c r="B19" s="33" t="inlineStr">
        <is>
          <t>1 · N1-3</t>
        </is>
      </c>
      <c r="C19" s="34" t="n"/>
      <c r="D19" s="39" t="inlineStr">
        <is>
          <t>✔ Kiểm tra: Link mở được trang VNPay</t>
        </is>
      </c>
      <c r="E19" s="34" t="n"/>
      <c r="F19" s="34" t="n"/>
      <c r="G19" s="34" t="n"/>
      <c r="H19" s="36" t="b">
        <v>0</v>
      </c>
      <c r="I19" s="37" t="n"/>
      <c r="J19" s="38" t="n"/>
      <c r="K19" s="38" t="n"/>
      <c r="L19" s="33" t="n">
        <v>1</v>
      </c>
    </row>
    <row r="20">
      <c r="A20" s="55" t="inlineStr">
        <is>
          <t>H4</t>
        </is>
      </c>
      <c r="B20" s="55" t="inlineStr">
        <is>
          <t>1 · N4-5</t>
        </is>
      </c>
      <c r="C20" s="55" t="inlineStr">
        <is>
          <t>Hợp đồng API</t>
        </is>
      </c>
      <c r="D20" s="55" t="inlineStr"/>
      <c r="E20" s="55" t="inlineStr">
        <is>
          <t>F4</t>
        </is>
      </c>
      <c r="F20" s="55" t="inlineStr">
        <is>
          <t>API hiện trên Swagger</t>
        </is>
      </c>
      <c r="G20" s="55" t="inlineStr">
        <is>
          <t>3</t>
        </is>
      </c>
      <c r="H20" s="56" t="n"/>
      <c r="I20" s="56" t="n"/>
      <c r="J20" s="56" t="n"/>
      <c r="K20" s="56" t="n"/>
      <c r="L20" s="57" t="n">
        <v>1</v>
      </c>
    </row>
    <row r="21">
      <c r="A21" s="33" t="inlineStr">
        <is>
          <t>H4</t>
        </is>
      </c>
      <c r="B21" s="33" t="inlineStr">
        <is>
          <t>1 · N4-5</t>
        </is>
      </c>
      <c r="C21" s="34" t="n"/>
      <c r="D21" s="35" t="inlineStr">
        <is>
          <t>DTO + controller dữ liệu giả cho /api/cart*, /api/orders*, /api/payments/vnpay/*, /api/store/orders*, /api/store/pickup/*.</t>
        </is>
      </c>
      <c r="E21" s="34" t="n"/>
      <c r="F21" s="34" t="n"/>
      <c r="G21" s="34" t="n"/>
      <c r="H21" s="36" t="b">
        <v>0</v>
      </c>
      <c r="I21" s="37" t="n"/>
      <c r="J21" s="38" t="n"/>
      <c r="K21" s="38" t="n"/>
      <c r="L21" s="33" t="n">
        <v>1</v>
      </c>
    </row>
    <row r="22">
      <c r="A22" s="33" t="inlineStr">
        <is>
          <t>H4</t>
        </is>
      </c>
      <c r="B22" s="33" t="inlineStr">
        <is>
          <t>1 · N4-5</t>
        </is>
      </c>
      <c r="C22" s="34" t="n"/>
      <c r="D22" s="39" t="inlineStr">
        <is>
          <t>✔ Kiểm tra: Duyệt ở G1</t>
        </is>
      </c>
      <c r="E22" s="34" t="n"/>
      <c r="F22" s="34" t="n"/>
      <c r="G22" s="34" t="n"/>
      <c r="H22" s="36" t="b">
        <v>0</v>
      </c>
      <c r="I22" s="37" t="n"/>
      <c r="J22" s="38" t="n"/>
      <c r="K22" s="38" t="n"/>
      <c r="L22" s="33" t="n">
        <v>1</v>
      </c>
    </row>
    <row r="23">
      <c r="A23" s="55" t="inlineStr">
        <is>
          <t>O12</t>
        </is>
      </c>
      <c r="B23" s="55" t="inlineStr">
        <is>
          <t>2</t>
        </is>
      </c>
      <c r="C23" s="55" t="inlineStr">
        <is>
          <t>API giỏ hàng</t>
        </is>
      </c>
      <c r="D23" s="55" t="inlineStr"/>
      <c r="E23" s="55" t="inlineStr">
        <is>
          <t>F3</t>
        </is>
      </c>
      <c r="F23" s="55" t="inlineStr">
        <is>
          <t>Giỏ hàng chạy qua Postman</t>
        </is>
      </c>
      <c r="G23" s="55" t="inlineStr">
        <is>
          <t>4</t>
        </is>
      </c>
      <c r="H23" s="56" t="n"/>
      <c r="I23" s="56" t="n"/>
      <c r="J23" s="56" t="n"/>
      <c r="K23" s="56" t="n"/>
      <c r="L23" s="57" t="n">
        <v>2</v>
      </c>
    </row>
    <row r="24">
      <c r="A24" s="33" t="inlineStr">
        <is>
          <t>O12</t>
        </is>
      </c>
      <c r="B24" s="33" t="inlineStr">
        <is>
          <t>2</t>
        </is>
      </c>
      <c r="C24" s="34" t="n"/>
      <c r="D24" s="35" t="inlineStr">
        <is>
          <t>GET /api/cart (giá, số còn lại mới nhất, đánh dấu túi hết / hết giờ, khung giờ chung, canCheckout); thêm (1-5 mỗi loại), sửa, xoá, xoá hết; túi khác cửa hàng → CART_OTHER_STORE.</t>
        </is>
      </c>
      <c r="E24" s="34" t="n"/>
      <c r="F24" s="34" t="n"/>
      <c r="G24" s="34" t="n"/>
      <c r="H24" s="36" t="b">
        <v>0</v>
      </c>
      <c r="I24" s="37" t="n"/>
      <c r="J24" s="38" t="n"/>
      <c r="K24" s="38" t="n"/>
      <c r="L24" s="33" t="n">
        <v>2</v>
      </c>
    </row>
    <row r="25">
      <c r="A25" s="33" t="inlineStr">
        <is>
          <t>O12</t>
        </is>
      </c>
      <c r="B25" s="33" t="inlineStr">
        <is>
          <t>2</t>
        </is>
      </c>
      <c r="C25" s="34" t="n"/>
      <c r="D25" s="39" t="inlineStr">
        <is>
          <t>✔ Kiểm tra: TC21 (backend)</t>
        </is>
      </c>
      <c r="E25" s="34" t="n"/>
      <c r="F25" s="34" t="n"/>
      <c r="G25" s="34" t="n"/>
      <c r="H25" s="36" t="b">
        <v>0</v>
      </c>
      <c r="I25" s="37" t="n"/>
      <c r="J25" s="38" t="n"/>
      <c r="K25" s="38" t="n"/>
      <c r="L25" s="33" t="n">
        <v>2</v>
      </c>
    </row>
    <row r="26">
      <c r="A26" s="55" t="inlineStr">
        <is>
          <t>O1</t>
        </is>
      </c>
      <c r="B26" s="55" t="inlineStr">
        <is>
          <t>2</t>
        </is>
      </c>
      <c r="C26" s="55" t="inlineStr">
        <is>
          <t>API tạo đơn</t>
        </is>
      </c>
      <c r="D26" s="55" t="inlineStr"/>
      <c r="E26" s="55" t="inlineStr">
        <is>
          <t>F8, O12</t>
        </is>
      </c>
      <c r="F26" s="55" t="inlineStr">
        <is>
          <t>Tạo đơn nhiều túi đúng tiền, đúng kho</t>
        </is>
      </c>
      <c r="G26" s="55" t="inlineStr">
        <is>
          <t>9</t>
        </is>
      </c>
      <c r="H26" s="56" t="n"/>
      <c r="I26" s="56" t="n"/>
      <c r="J26" s="56" t="n"/>
      <c r="K26" s="56" t="n"/>
      <c r="L26" s="57" t="n">
        <v>2</v>
      </c>
    </row>
    <row r="27">
      <c r="A27" s="33" t="inlineStr">
        <is>
          <t>O1</t>
        </is>
      </c>
      <c r="B27" s="33" t="inlineStr">
        <is>
          <t>2</t>
        </is>
      </c>
      <c r="C27" s="34" t="n"/>
      <c r="D27" s="35" t="inlineStr">
        <is>
          <t>POST /api/orders lấy giỏ của khách.</t>
        </is>
      </c>
      <c r="E27" s="34" t="n"/>
      <c r="F27" s="34" t="n"/>
      <c r="G27" s="34" t="n"/>
      <c r="H27" s="36" t="b">
        <v>0</v>
      </c>
      <c r="I27" s="37" t="n"/>
      <c r="J27" s="38" t="n"/>
      <c r="K27" s="38" t="n"/>
      <c r="L27" s="33" t="n">
        <v>2</v>
      </c>
    </row>
    <row r="28">
      <c r="A28" s="33" t="inlineStr">
        <is>
          <t>O1</t>
        </is>
      </c>
      <c r="B28" s="33" t="inlineStr">
        <is>
          <t>2</t>
        </is>
      </c>
      <c r="C28" s="34" t="n"/>
      <c r="D28" s="35" t="inlineStr">
        <is>
          <t>Kiểm tra túi còn bán, cùng cửa hàng, có khung giờ chung.</t>
        </is>
      </c>
      <c r="E28" s="34" t="n"/>
      <c r="F28" s="34" t="n"/>
      <c r="G28" s="34" t="n"/>
      <c r="H28" s="36" t="b">
        <v>0</v>
      </c>
      <c r="I28" s="37" t="n"/>
      <c r="J28" s="38" t="n"/>
      <c r="K28" s="38" t="n"/>
      <c r="L28" s="33" t="n">
        <v>2</v>
      </c>
    </row>
    <row r="29">
      <c r="A29" s="33" t="inlineStr">
        <is>
          <t>O1</t>
        </is>
      </c>
      <c r="B29" s="33" t="inlineStr">
        <is>
          <t>2</t>
        </is>
      </c>
      <c r="C29" s="34" t="n"/>
      <c r="D29" s="35" t="inlineStr">
        <is>
          <t>Trong 1 transaction: StockService.reserve từng túi theo id tăng dần (thiếu thì rollback, báo túi nào); tạo orders + order_items; mã đơn, mã nhận hàng; phí theo stores.commission_rate qua Money; payments PENDING; xoá giỏ.</t>
        </is>
      </c>
      <c r="E29" s="34" t="n"/>
      <c r="F29" s="34" t="n"/>
      <c r="G29" s="34" t="n"/>
      <c r="H29" s="36" t="b">
        <v>0</v>
      </c>
      <c r="I29" s="37" t="n"/>
      <c r="J29" s="38" t="n"/>
      <c r="K29" s="38" t="n"/>
      <c r="L29" s="33" t="n">
        <v>2</v>
      </c>
    </row>
    <row r="30">
      <c r="A30" s="33" t="inlineStr">
        <is>
          <t>O1</t>
        </is>
      </c>
      <c r="B30" s="33" t="inlineStr">
        <is>
          <t>2</t>
        </is>
      </c>
      <c r="C30" s="34" t="n"/>
      <c r="D30" s="39" t="inlineStr">
        <is>
          <t>✔ Kiểm tra: C1-C5 sạch sau khi tạo đơn</t>
        </is>
      </c>
      <c r="E30" s="34" t="n"/>
      <c r="F30" s="34" t="n"/>
      <c r="G30" s="34" t="n"/>
      <c r="H30" s="36" t="b">
        <v>0</v>
      </c>
      <c r="I30" s="37" t="n"/>
      <c r="J30" s="38" t="n"/>
      <c r="K30" s="38" t="n"/>
      <c r="L30" s="33" t="n">
        <v>2</v>
      </c>
    </row>
    <row r="31">
      <c r="A31" s="55" t="inlineStr">
        <is>
          <t>O2</t>
        </is>
      </c>
      <c r="B31" s="55" t="inlineStr">
        <is>
          <t>2</t>
        </is>
      </c>
      <c r="C31" s="55" t="inlineStr">
        <is>
          <t>Test đặt đồng thời</t>
        </is>
      </c>
      <c r="D31" s="55" t="inlineStr"/>
      <c r="E31" s="55" t="inlineStr">
        <is>
          <t>O1</t>
        </is>
      </c>
      <c r="F31" s="55" t="inlineStr">
        <is>
          <t>Test tự động chạy trong CI</t>
        </is>
      </c>
      <c r="G31" s="55" t="inlineStr">
        <is>
          <t>4</t>
        </is>
      </c>
      <c r="H31" s="56" t="n"/>
      <c r="I31" s="56" t="n"/>
      <c r="J31" s="56" t="n"/>
      <c r="K31" s="56" t="n"/>
      <c r="L31" s="57" t="n">
        <v>2</v>
      </c>
    </row>
    <row r="32">
      <c r="A32" s="33" t="inlineStr">
        <is>
          <t>O2</t>
        </is>
      </c>
      <c r="B32" s="33" t="inlineStr">
        <is>
          <t>2</t>
        </is>
      </c>
      <c r="C32" s="34" t="n"/>
      <c r="D32" s="35" t="inlineStr">
        <is>
          <t>Test JUnit: 10 luồng cùng đặt túi còn 1; đơn 2 loại túi mà 1 loại thiếu.</t>
        </is>
      </c>
      <c r="E32" s="34" t="n"/>
      <c r="F32" s="34" t="n"/>
      <c r="G32" s="34" t="n"/>
      <c r="H32" s="36" t="b">
        <v>0</v>
      </c>
      <c r="I32" s="37" t="n"/>
      <c r="J32" s="38" t="n"/>
      <c r="K32" s="38" t="n"/>
      <c r="L32" s="33" t="n">
        <v>2</v>
      </c>
    </row>
    <row r="33">
      <c r="A33" s="33" t="inlineStr">
        <is>
          <t>O2</t>
        </is>
      </c>
      <c r="B33" s="33" t="inlineStr">
        <is>
          <t>2</t>
        </is>
      </c>
      <c r="C33" s="34" t="n"/>
      <c r="D33" s="39" t="inlineStr">
        <is>
          <t>✔ Kiểm tra: TC01, TC22</t>
        </is>
      </c>
      <c r="E33" s="34" t="n"/>
      <c r="F33" s="34" t="n"/>
      <c r="G33" s="34" t="n"/>
      <c r="H33" s="36" t="b">
        <v>0</v>
      </c>
      <c r="I33" s="37" t="n"/>
      <c r="J33" s="38" t="n"/>
      <c r="K33" s="38" t="n"/>
      <c r="L33" s="33" t="n">
        <v>2</v>
      </c>
    </row>
    <row r="34">
      <c r="A34" s="55" t="inlineStr">
        <is>
          <t>O3</t>
        </is>
      </c>
      <c r="B34" s="55" t="inlineStr">
        <is>
          <t>3</t>
        </is>
      </c>
      <c r="C34" s="55" t="inlineStr">
        <is>
          <t>Tích hợp VNPay</t>
        </is>
      </c>
      <c r="D34" s="55" t="inlineStr"/>
      <c r="E34" s="55" t="inlineStr">
        <is>
          <t>O0, O1</t>
        </is>
      </c>
      <c r="F34" s="55" t="inlineStr">
        <is>
          <t>Thanh toán thật trên sandbox</t>
        </is>
      </c>
      <c r="G34" s="55" t="inlineStr">
        <is>
          <t>9</t>
        </is>
      </c>
      <c r="H34" s="56" t="n"/>
      <c r="I34" s="56" t="n"/>
      <c r="J34" s="56" t="n"/>
      <c r="K34" s="56" t="n"/>
      <c r="L34" s="57" t="n">
        <v>3</v>
      </c>
    </row>
    <row r="35">
      <c r="A35" s="33" t="inlineStr">
        <is>
          <t>O3</t>
        </is>
      </c>
      <c r="B35" s="33" t="inlineStr">
        <is>
          <t>3</t>
        </is>
      </c>
      <c r="C35" s="34" t="n"/>
      <c r="D35" s="35" t="inlineStr">
        <is>
          <t>Tạo paymentUrl (hết hạn 10 phút).</t>
        </is>
      </c>
      <c r="E35" s="34" t="n"/>
      <c r="F35" s="34" t="n"/>
      <c r="G35" s="34" t="n"/>
      <c r="H35" s="36" t="b">
        <v>0</v>
      </c>
      <c r="I35" s="37" t="n"/>
      <c r="J35" s="38" t="n"/>
      <c r="K35" s="38" t="n"/>
      <c r="L35" s="33" t="n">
        <v>3</v>
      </c>
    </row>
    <row r="36">
      <c r="A36" s="33" t="inlineStr">
        <is>
          <t>O3</t>
        </is>
      </c>
      <c r="B36" s="33" t="inlineStr">
        <is>
          <t>3</t>
        </is>
      </c>
      <c r="C36" s="34" t="n"/>
      <c r="D36" s="35" t="inlineStr">
        <is>
          <t>/api/payments/vnpay/return và /ipn cùng gọi confirm(): kiểm tra chữ ký, số tiền; chỉ xử lý 1 lần; 00 → CONFIRMED + PAID + log; mã khác → EXPIRED + trả kho.</t>
        </is>
      </c>
      <c r="E36" s="34" t="n"/>
      <c r="F36" s="34" t="n"/>
      <c r="G36" s="34" t="n"/>
      <c r="H36" s="36" t="b">
        <v>0</v>
      </c>
      <c r="I36" s="37" t="n"/>
      <c r="J36" s="38" t="n"/>
      <c r="K36" s="38" t="n"/>
      <c r="L36" s="33" t="n">
        <v>3</v>
      </c>
    </row>
    <row r="37">
      <c r="A37" s="33" t="inlineStr">
        <is>
          <t>O3</t>
        </is>
      </c>
      <c r="B37" s="33" t="inlineStr">
        <is>
          <t>3</t>
        </is>
      </c>
      <c r="C37" s="34" t="n"/>
      <c r="D37" s="35" t="inlineStr">
        <is>
          <t>Tiền về khi đơn đã EXPIRED: còn hàng thì giữ lại và CONFIRMED, hết thì RefundService(LATE_PAYMENT).</t>
        </is>
      </c>
      <c r="E37" s="34" t="n"/>
      <c r="F37" s="34" t="n"/>
      <c r="G37" s="34" t="n"/>
      <c r="H37" s="36" t="b">
        <v>0</v>
      </c>
      <c r="I37" s="37" t="n"/>
      <c r="J37" s="38" t="n"/>
      <c r="K37" s="38" t="n"/>
      <c r="L37" s="33" t="n">
        <v>3</v>
      </c>
    </row>
    <row r="38">
      <c r="A38" s="33" t="inlineStr">
        <is>
          <t>O3</t>
        </is>
      </c>
      <c r="B38" s="33" t="inlineStr">
        <is>
          <t>3</t>
        </is>
      </c>
      <c r="C38" s="34" t="n"/>
      <c r="D38" s="39" t="inlineStr">
        <is>
          <t>✔ Kiểm tra: TC02, TC03, TC04, TC17</t>
        </is>
      </c>
      <c r="E38" s="34" t="n"/>
      <c r="F38" s="34" t="n"/>
      <c r="G38" s="34" t="n"/>
      <c r="H38" s="36" t="b">
        <v>0</v>
      </c>
      <c r="I38" s="37" t="n"/>
      <c r="J38" s="38" t="n"/>
      <c r="K38" s="38" t="n"/>
      <c r="L38" s="33" t="n">
        <v>3</v>
      </c>
    </row>
    <row r="39">
      <c r="A39" s="55" t="inlineStr">
        <is>
          <t>O4</t>
        </is>
      </c>
      <c r="B39" s="55" t="inlineStr">
        <is>
          <t>3</t>
        </is>
      </c>
      <c r="C39" s="55" t="inlineStr">
        <is>
          <t>Giỏ hàng, kết quả thanh toán</t>
        </is>
      </c>
      <c r="D39" s="55" t="inlineStr"/>
      <c r="E39" s="55" t="inlineStr">
        <is>
          <t>O12, O3</t>
        </is>
      </c>
      <c r="F39" s="55" t="inlineStr">
        <is>
          <t>Mua hàng trọn vẹn trên giao diện</t>
        </is>
      </c>
      <c r="G39" s="55" t="inlineStr">
        <is>
          <t>8</t>
        </is>
      </c>
      <c r="H39" s="56" t="n"/>
      <c r="I39" s="56" t="n"/>
      <c r="J39" s="56" t="n"/>
      <c r="K39" s="56" t="n"/>
      <c r="L39" s="57" t="n">
        <v>3</v>
      </c>
    </row>
    <row r="40">
      <c r="A40" s="33" t="inlineStr">
        <is>
          <t>O4</t>
        </is>
      </c>
      <c r="B40" s="33" t="inlineStr">
        <is>
          <t>3</t>
        </is>
      </c>
      <c r="C40" s="34" t="n"/>
      <c r="D40" s="35" t="inlineStr">
        <is>
          <t>&lt;AddToCartButton&gt; giao TV3; hook useCart cho icon giỏ trên header.</t>
        </is>
      </c>
      <c r="E40" s="34" t="n"/>
      <c r="F40" s="34" t="n"/>
      <c r="G40" s="34" t="n"/>
      <c r="H40" s="36" t="b">
        <v>0</v>
      </c>
      <c r="I40" s="37" t="n"/>
      <c r="J40" s="38" t="n"/>
      <c r="K40" s="38" t="n"/>
      <c r="L40" s="33" t="n">
        <v>3</v>
      </c>
    </row>
    <row r="41">
      <c r="A41" s="33" t="inlineStr">
        <is>
          <t>O4</t>
        </is>
      </c>
      <c r="B41" s="33" t="inlineStr">
        <is>
          <t>3</t>
        </is>
      </c>
      <c r="C41" s="34" t="n"/>
      <c r="D41" s="35" t="inlineStr">
        <is>
          <t>Trang /cart: danh sách túi, sửa số lượng, tổng tiền, khung giờ chung, cảnh báo túi hết, nút "Đặt hàng".</t>
        </is>
      </c>
      <c r="E41" s="34" t="n"/>
      <c r="F41" s="34" t="n"/>
      <c r="G41" s="34" t="n"/>
      <c r="H41" s="36" t="b">
        <v>0</v>
      </c>
      <c r="I41" s="37" t="n"/>
      <c r="J41" s="38" t="n"/>
      <c r="K41" s="38" t="n"/>
      <c r="L41" s="33" t="n">
        <v>3</v>
      </c>
    </row>
    <row r="42">
      <c r="A42" s="33" t="inlineStr">
        <is>
          <t>O4</t>
        </is>
      </c>
      <c r="B42" s="33" t="inlineStr">
        <is>
          <t>3</t>
        </is>
      </c>
      <c r="C42" s="34" t="n"/>
      <c r="D42" s="35" t="inlineStr">
        <is>
          <t>/payment/result: gửi tham số về backend, hiện thành công + mã nhận hàng / thất bại.</t>
        </is>
      </c>
      <c r="E42" s="34" t="n"/>
      <c r="F42" s="34" t="n"/>
      <c r="G42" s="34" t="n"/>
      <c r="H42" s="36" t="b">
        <v>0</v>
      </c>
      <c r="I42" s="37" t="n"/>
      <c r="J42" s="38" t="n"/>
      <c r="K42" s="38" t="n"/>
      <c r="L42" s="33" t="n">
        <v>3</v>
      </c>
    </row>
    <row r="43">
      <c r="A43" s="33" t="inlineStr">
        <is>
          <t>O4</t>
        </is>
      </c>
      <c r="B43" s="33" t="inlineStr">
        <is>
          <t>3</t>
        </is>
      </c>
      <c r="C43" s="34" t="n"/>
      <c r="D43" s="39" t="inlineStr">
        <is>
          <t>✔ Kiểm tra: Làm lại TC02, TC21 trên giao diện</t>
        </is>
      </c>
      <c r="E43" s="34" t="n"/>
      <c r="F43" s="34" t="n"/>
      <c r="G43" s="34" t="n"/>
      <c r="H43" s="36" t="b">
        <v>0</v>
      </c>
      <c r="I43" s="37" t="n"/>
      <c r="J43" s="38" t="n"/>
      <c r="K43" s="38" t="n"/>
      <c r="L43" s="33" t="n">
        <v>3</v>
      </c>
    </row>
    <row r="44">
      <c r="A44" s="55" t="inlineStr">
        <is>
          <t>O5</t>
        </is>
      </c>
      <c r="B44" s="55" t="inlineStr">
        <is>
          <t>4</t>
        </is>
      </c>
      <c r="C44" s="55" t="inlineStr">
        <is>
          <t>Đơn của tôi</t>
        </is>
      </c>
      <c r="D44" s="55" t="inlineStr"/>
      <c r="E44" s="55" t="inlineStr">
        <is>
          <t>seed</t>
        </is>
      </c>
      <c r="F44" s="55" t="inlineStr">
        <is>
          <t>Khách theo dõi được đơn</t>
        </is>
      </c>
      <c r="G44" s="55" t="inlineStr">
        <is>
          <t>8</t>
        </is>
      </c>
      <c r="H44" s="56" t="n"/>
      <c r="I44" s="56" t="n"/>
      <c r="J44" s="56" t="n"/>
      <c r="K44" s="56" t="n"/>
      <c r="L44" s="57" t="n">
        <v>4</v>
      </c>
    </row>
    <row r="45">
      <c r="A45" s="33" t="inlineStr">
        <is>
          <t>O5</t>
        </is>
      </c>
      <c r="B45" s="33" t="inlineStr">
        <is>
          <t>4</t>
        </is>
      </c>
      <c r="C45" s="34" t="n"/>
      <c r="D45" s="35" t="inlineStr">
        <is>
          <t>GET /api/orders, /{id}.</t>
        </is>
      </c>
      <c r="E45" s="34" t="n"/>
      <c r="F45" s="34" t="n"/>
      <c r="G45" s="34" t="n"/>
      <c r="H45" s="36" t="b">
        <v>0</v>
      </c>
      <c r="I45" s="37" t="n"/>
      <c r="J45" s="38" t="n"/>
      <c r="K45" s="38" t="n"/>
      <c r="L45" s="33" t="n">
        <v>4</v>
      </c>
    </row>
    <row r="46">
      <c r="A46" s="33" t="inlineStr">
        <is>
          <t>O5</t>
        </is>
      </c>
      <c r="B46" s="33" t="inlineStr">
        <is>
          <t>4</t>
        </is>
      </c>
      <c r="C46" s="34" t="n"/>
      <c r="D46" s="35" t="inlineStr">
        <is>
          <t>Trang /orders: tab theo trạng thái; đơn chờ nhận hiện mã + QR, khung giờ, "Chỉ đường"; đơn chưa trả có nút huỷ (POST .../cancel, trả kho); đơn bị huỷ hiện trạng thái hoàn tiền; chỗ gắn &lt;ReviewButton&gt;.</t>
        </is>
      </c>
      <c r="E46" s="34" t="n"/>
      <c r="F46" s="34" t="n"/>
      <c r="G46" s="34" t="n"/>
      <c r="H46" s="36" t="b">
        <v>0</v>
      </c>
      <c r="I46" s="37" t="n"/>
      <c r="J46" s="38" t="n"/>
      <c r="K46" s="38" t="n"/>
      <c r="L46" s="33" t="n">
        <v>4</v>
      </c>
    </row>
    <row r="47">
      <c r="A47" s="33" t="inlineStr">
        <is>
          <t>O5</t>
        </is>
      </c>
      <c r="B47" s="33" t="inlineStr">
        <is>
          <t>4</t>
        </is>
      </c>
      <c r="C47" s="34" t="n"/>
      <c r="D47" s="39" t="inlineStr">
        <is>
          <t>✔ Kiểm tra: Huỷ đơn chưa trả → C1c sạch</t>
        </is>
      </c>
      <c r="E47" s="34" t="n"/>
      <c r="F47" s="34" t="n"/>
      <c r="G47" s="34" t="n"/>
      <c r="H47" s="36" t="b">
        <v>0</v>
      </c>
      <c r="I47" s="37" t="n"/>
      <c r="J47" s="38" t="n"/>
      <c r="K47" s="38" t="n"/>
      <c r="L47" s="33" t="n">
        <v>4</v>
      </c>
    </row>
    <row r="48">
      <c r="A48" s="55" t="inlineStr">
        <is>
          <t>O6</t>
        </is>
      </c>
      <c r="B48" s="55" t="inlineStr">
        <is>
          <t>4</t>
        </is>
      </c>
      <c r="C48" s="55" t="inlineStr">
        <is>
          <t>2 tác vụ tự động</t>
        </is>
      </c>
      <c r="D48" s="55" t="inlineStr"/>
      <c r="E48" s="55" t="inlineStr">
        <is>
          <t>O1</t>
        </is>
      </c>
      <c r="F48" s="55" t="inlineStr">
        <is>
          <t>Đơn và túi tự đổi trạng thái</t>
        </is>
      </c>
      <c r="G48" s="55" t="inlineStr">
        <is>
          <t>5</t>
        </is>
      </c>
      <c r="H48" s="56" t="n"/>
      <c r="I48" s="56" t="n"/>
      <c r="J48" s="56" t="n"/>
      <c r="K48" s="56" t="n"/>
      <c r="L48" s="57" t="n">
        <v>4</v>
      </c>
    </row>
    <row r="49">
      <c r="A49" s="33" t="inlineStr">
        <is>
          <t>O6</t>
        </is>
      </c>
      <c r="B49" s="33" t="inlineStr">
        <is>
          <t>4</t>
        </is>
      </c>
      <c r="C49" s="34" t="n"/>
      <c r="D49" s="35" t="inlineStr">
        <is>
          <t>Mỗi phút: đơn PENDING_PAYMENT quá 15 phút → EXPIRED (UPDATE có điều kiện trạng thái) + StockService.release.</t>
        </is>
      </c>
      <c r="E49" s="34" t="n"/>
      <c r="F49" s="34" t="n"/>
      <c r="G49" s="34" t="n"/>
      <c r="H49" s="36" t="b">
        <v>0</v>
      </c>
      <c r="I49" s="37" t="n"/>
      <c r="J49" s="38" t="n"/>
      <c r="K49" s="38" t="n"/>
      <c r="L49" s="33" t="n">
        <v>4</v>
      </c>
    </row>
    <row r="50">
      <c r="A50" s="33" t="inlineStr">
        <is>
          <t>O6</t>
        </is>
      </c>
      <c r="B50" s="33" t="inlineStr">
        <is>
          <t>4</t>
        </is>
      </c>
      <c r="C50" s="34" t="n"/>
      <c r="D50" s="35" t="inlineStr">
        <is>
          <t>Mỗi 5 phút: túi quá giờ → EXPIRED; đơn CONFIRMED quá pickup_end + 30 phút → NO_SHOW + completed_at.</t>
        </is>
      </c>
      <c r="E50" s="34" t="n"/>
      <c r="F50" s="34" t="n"/>
      <c r="G50" s="34" t="n"/>
      <c r="H50" s="36" t="b">
        <v>0</v>
      </c>
      <c r="I50" s="37" t="n"/>
      <c r="J50" s="38" t="n"/>
      <c r="K50" s="38" t="n"/>
      <c r="L50" s="33" t="n">
        <v>4</v>
      </c>
    </row>
    <row r="51">
      <c r="A51" s="33" t="inlineStr">
        <is>
          <t>O6</t>
        </is>
      </c>
      <c r="B51" s="33" t="inlineStr">
        <is>
          <t>4</t>
        </is>
      </c>
      <c r="C51" s="34" t="n"/>
      <c r="D51" s="35" t="inlineStr">
        <is>
          <t>Ghi log.</t>
        </is>
      </c>
      <c r="E51" s="34" t="n"/>
      <c r="F51" s="34" t="n"/>
      <c r="G51" s="34" t="n"/>
      <c r="H51" s="36" t="b">
        <v>0</v>
      </c>
      <c r="I51" s="37" t="n"/>
      <c r="J51" s="38" t="n"/>
      <c r="K51" s="38" t="n"/>
      <c r="L51" s="33" t="n">
        <v>4</v>
      </c>
    </row>
    <row r="52">
      <c r="A52" s="33" t="inlineStr">
        <is>
          <t>O6</t>
        </is>
      </c>
      <c r="B52" s="33" t="inlineStr">
        <is>
          <t>4</t>
        </is>
      </c>
      <c r="C52" s="34" t="n"/>
      <c r="D52" s="39" t="inlineStr">
        <is>
          <t>✔ Kiểm tra: TC05; C1c, C5 sạch</t>
        </is>
      </c>
      <c r="E52" s="34" t="n"/>
      <c r="F52" s="34" t="n"/>
      <c r="G52" s="34" t="n"/>
      <c r="H52" s="36" t="b">
        <v>0</v>
      </c>
      <c r="I52" s="37" t="n"/>
      <c r="J52" s="38" t="n"/>
      <c r="K52" s="38" t="n"/>
      <c r="L52" s="33" t="n">
        <v>4</v>
      </c>
    </row>
    <row r="53">
      <c r="A53" s="55" t="inlineStr">
        <is>
          <t>O7</t>
        </is>
      </c>
      <c r="B53" s="55" t="inlineStr">
        <is>
          <t>5</t>
        </is>
      </c>
      <c r="C53" s="55" t="inlineStr">
        <is>
          <t>Màn hình quầy</t>
        </is>
      </c>
      <c r="D53" s="55" t="inlineStr"/>
      <c r="E53" s="55" t="inlineStr">
        <is>
          <t>seed</t>
        </is>
      </c>
      <c r="F53" s="55" t="inlineStr">
        <is>
          <t>Nhân viên thấy đơn mới</t>
        </is>
      </c>
      <c r="G53" s="55" t="inlineStr">
        <is>
          <t>6</t>
        </is>
      </c>
      <c r="H53" s="56" t="n"/>
      <c r="I53" s="56" t="n"/>
      <c r="J53" s="56" t="n"/>
      <c r="K53" s="56" t="n"/>
      <c r="L53" s="57" t="n">
        <v>5</v>
      </c>
    </row>
    <row r="54">
      <c r="A54" s="33" t="inlineStr">
        <is>
          <t>O7</t>
        </is>
      </c>
      <c r="B54" s="33" t="inlineStr">
        <is>
          <t>5</t>
        </is>
      </c>
      <c r="C54" s="34" t="n"/>
      <c r="D54" s="35" t="inlineStr">
        <is>
          <t>GET /api/store/orders?date=today (lọc theo storeId trong token); trang /store/counter: đơn hôm nay theo khung giờ, tự tải lại 15 giây, ô nhập mã lớn cho máy tính bảng.</t>
        </is>
      </c>
      <c r="E54" s="34" t="n"/>
      <c r="F54" s="34" t="n"/>
      <c r="G54" s="34" t="n"/>
      <c r="H54" s="36" t="b">
        <v>0</v>
      </c>
      <c r="I54" s="37" t="n"/>
      <c r="J54" s="38" t="n"/>
      <c r="K54" s="38" t="n"/>
      <c r="L54" s="33" t="n">
        <v>5</v>
      </c>
    </row>
    <row r="55">
      <c r="A55" s="33" t="inlineStr">
        <is>
          <t>O7</t>
        </is>
      </c>
      <c r="B55" s="33" t="inlineStr">
        <is>
          <t>5</t>
        </is>
      </c>
      <c r="C55" s="34" t="n"/>
      <c r="D55" s="39" t="inlineStr">
        <is>
          <t>✔ Kiểm tra: Đơn mới hiện sau ≤ 15 giây</t>
        </is>
      </c>
      <c r="E55" s="34" t="n"/>
      <c r="F55" s="34" t="n"/>
      <c r="G55" s="34" t="n"/>
      <c r="H55" s="36" t="b">
        <v>0</v>
      </c>
      <c r="I55" s="37" t="n"/>
      <c r="J55" s="38" t="n"/>
      <c r="K55" s="38" t="n"/>
      <c r="L55" s="33" t="n">
        <v>5</v>
      </c>
    </row>
    <row r="56">
      <c r="A56" s="55" t="inlineStr">
        <is>
          <t>O8</t>
        </is>
      </c>
      <c r="B56" s="55" t="inlineStr">
        <is>
          <t>5</t>
        </is>
      </c>
      <c r="C56" s="55" t="inlineStr">
        <is>
          <t>Giao hàng bằng mã</t>
        </is>
      </c>
      <c r="D56" s="55" t="inlineStr"/>
      <c r="E56" s="55" t="inlineStr">
        <is>
          <t>O7</t>
        </is>
      </c>
      <c r="F56" s="55" t="inlineStr">
        <is>
          <t>Giao hàng tại quầy</t>
        </is>
      </c>
      <c r="G56" s="55" t="inlineStr">
        <is>
          <t>5</t>
        </is>
      </c>
      <c r="H56" s="56" t="n"/>
      <c r="I56" s="56" t="n"/>
      <c r="J56" s="56" t="n"/>
      <c r="K56" s="56" t="n"/>
      <c r="L56" s="57" t="n">
        <v>5</v>
      </c>
    </row>
    <row r="57">
      <c r="A57" s="33" t="inlineStr">
        <is>
          <t>O8</t>
        </is>
      </c>
      <c r="B57" s="33" t="inlineStr">
        <is>
          <t>5</t>
        </is>
      </c>
      <c r="C57" s="34" t="n"/>
      <c r="D57" s="35" t="inlineStr">
        <is>
          <t>GET /api/store/pickup/{code}: đúng cửa hàng, CONFIRMED, trong khung giờ (sớm 15 phút, trễ 30 phút).</t>
        </is>
      </c>
      <c r="E57" s="34" t="n"/>
      <c r="F57" s="34" t="n"/>
      <c r="G57" s="34" t="n"/>
      <c r="H57" s="36" t="b">
        <v>0</v>
      </c>
      <c r="I57" s="37" t="n"/>
      <c r="J57" s="38" t="n"/>
      <c r="K57" s="38" t="n"/>
      <c r="L57" s="33" t="n">
        <v>5</v>
      </c>
    </row>
    <row r="58">
      <c r="A58" s="33" t="inlineStr">
        <is>
          <t>O8</t>
        </is>
      </c>
      <c r="B58" s="33" t="inlineStr">
        <is>
          <t>5</t>
        </is>
      </c>
      <c r="C58" s="34" t="n"/>
      <c r="D58" s="35" t="inlineStr">
        <is>
          <t>POST .../complete: COMPLETED, handled_by, completed_at, log.</t>
        </is>
      </c>
      <c r="E58" s="34" t="n"/>
      <c r="F58" s="34" t="n"/>
      <c r="G58" s="34" t="n"/>
      <c r="H58" s="36" t="b">
        <v>0</v>
      </c>
      <c r="I58" s="37" t="n"/>
      <c r="J58" s="38" t="n"/>
      <c r="K58" s="38" t="n"/>
      <c r="L58" s="33" t="n">
        <v>5</v>
      </c>
    </row>
    <row r="59">
      <c r="A59" s="33" t="inlineStr">
        <is>
          <t>O8</t>
        </is>
      </c>
      <c r="B59" s="33" t="inlineStr">
        <is>
          <t>5</t>
        </is>
      </c>
      <c r="C59" s="34" t="n"/>
      <c r="D59" s="35" t="inlineStr">
        <is>
          <t>Modal hiện tên khách + danh sách túi, nút "Đã giao".</t>
        </is>
      </c>
      <c r="E59" s="34" t="n"/>
      <c r="F59" s="34" t="n"/>
      <c r="G59" s="34" t="n"/>
      <c r="H59" s="36" t="b">
        <v>0</v>
      </c>
      <c r="I59" s="37" t="n"/>
      <c r="J59" s="38" t="n"/>
      <c r="K59" s="38" t="n"/>
      <c r="L59" s="33" t="n">
        <v>5</v>
      </c>
    </row>
    <row r="60">
      <c r="A60" s="33" t="inlineStr">
        <is>
          <t>O8</t>
        </is>
      </c>
      <c r="B60" s="33" t="inlineStr">
        <is>
          <t>5</t>
        </is>
      </c>
      <c r="C60" s="34" t="n"/>
      <c r="D60" s="39" t="inlineStr">
        <is>
          <t>✔ Kiểm tra: TC07, TC08; C11 sạch</t>
        </is>
      </c>
      <c r="E60" s="34" t="n"/>
      <c r="F60" s="34" t="n"/>
      <c r="G60" s="34" t="n"/>
      <c r="H60" s="36" t="b">
        <v>0</v>
      </c>
      <c r="I60" s="37" t="n"/>
      <c r="J60" s="38" t="n"/>
      <c r="K60" s="38" t="n"/>
      <c r="L60" s="33" t="n">
        <v>5</v>
      </c>
    </row>
    <row r="61">
      <c r="A61" s="55" t="inlineStr">
        <is>
          <t>O9</t>
        </is>
      </c>
      <c r="B61" s="55" t="inlineStr">
        <is>
          <t>6</t>
        </is>
      </c>
      <c r="C61" s="55" t="inlineStr">
        <is>
          <t>Đơn của cửa hàng, huỷ đơn</t>
        </is>
      </c>
      <c r="D61" s="55" t="inlineStr"/>
      <c r="E61" s="55" t="inlineStr">
        <is>
          <t>F8</t>
        </is>
      </c>
      <c r="F61" s="55" t="inlineStr">
        <is>
          <t>Cửa hàng xử lý đơn hết hàng</t>
        </is>
      </c>
      <c r="G61" s="55" t="inlineStr">
        <is>
          <t>6</t>
        </is>
      </c>
      <c r="H61" s="56" t="n"/>
      <c r="I61" s="56" t="n"/>
      <c r="J61" s="56" t="n"/>
      <c r="K61" s="56" t="n"/>
      <c r="L61" s="57" t="n">
        <v>6</v>
      </c>
    </row>
    <row r="62">
      <c r="A62" s="33" t="inlineStr">
        <is>
          <t>O9</t>
        </is>
      </c>
      <c r="B62" s="33" t="inlineStr">
        <is>
          <t>6</t>
        </is>
      </c>
      <c r="C62" s="34" t="n"/>
      <c r="D62" s="35" t="inlineStr">
        <is>
          <t>/store/orders lọc ngày, trạng thái; chi tiết đơn các túi; chủ quán huỷ đơn (bắt buộc lý do) → RefundService.request(STORE_CANCELLED).</t>
        </is>
      </c>
      <c r="E62" s="34" t="n"/>
      <c r="F62" s="34" t="n"/>
      <c r="G62" s="34" t="n"/>
      <c r="H62" s="36" t="b">
        <v>0</v>
      </c>
      <c r="I62" s="37" t="n"/>
      <c r="J62" s="38" t="n"/>
      <c r="K62" s="38" t="n"/>
      <c r="L62" s="33" t="n">
        <v>6</v>
      </c>
    </row>
    <row r="63">
      <c r="A63" s="33" t="inlineStr">
        <is>
          <t>O9</t>
        </is>
      </c>
      <c r="B63" s="33" t="inlineStr">
        <is>
          <t>6</t>
        </is>
      </c>
      <c r="C63" s="34" t="n"/>
      <c r="D63" s="39" t="inlineStr">
        <is>
          <t>✔ Kiểm tra: TC10 (phần cửa hàng)</t>
        </is>
      </c>
      <c r="E63" s="34" t="n"/>
      <c r="F63" s="34" t="n"/>
      <c r="G63" s="34" t="n"/>
      <c r="H63" s="36" t="b">
        <v>0</v>
      </c>
      <c r="I63" s="37" t="n"/>
      <c r="J63" s="38" t="n"/>
      <c r="K63" s="38" t="n"/>
      <c r="L63" s="33" t="n">
        <v>6</v>
      </c>
    </row>
    <row r="64">
      <c r="A64" s="55" t="inlineStr">
        <is>
          <t>O10</t>
        </is>
      </c>
      <c r="B64" s="55" t="inlineStr">
        <is>
          <t>7</t>
        </is>
      </c>
      <c r="C64" s="55" t="inlineStr">
        <is>
          <t>Kiểm tra toàn luồng đơn</t>
        </is>
      </c>
      <c r="D64" s="55" t="inlineStr"/>
      <c r="E64" s="55" t="inlineStr">
        <is>
          <t>—</t>
        </is>
      </c>
      <c r="F64" s="55" t="inlineStr">
        <is>
          <t>Luồng đơn không lỗi</t>
        </is>
      </c>
      <c r="G64" s="55" t="inlineStr">
        <is>
          <t>6</t>
        </is>
      </c>
      <c r="H64" s="56" t="n"/>
      <c r="I64" s="56" t="n"/>
      <c r="J64" s="56" t="n"/>
      <c r="K64" s="56" t="n"/>
      <c r="L64" s="57" t="n">
        <v>7</v>
      </c>
    </row>
    <row r="65">
      <c r="A65" s="33" t="inlineStr">
        <is>
          <t>O10</t>
        </is>
      </c>
      <c r="B65" s="33" t="inlineStr">
        <is>
          <t>7</t>
        </is>
      </c>
      <c r="C65" s="34" t="n"/>
      <c r="D65" s="35" t="inlineStr">
        <is>
          <t>Chạy TC01-TC05, TC07, TC08, TC17, TC21, TC22 trên giao diện; sửa lỗi; nếu đã deploy: thử IPN thật.</t>
        </is>
      </c>
      <c r="E65" s="34" t="n"/>
      <c r="F65" s="34" t="n"/>
      <c r="G65" s="34" t="n"/>
      <c r="H65" s="36" t="b">
        <v>0</v>
      </c>
      <c r="I65" s="37" t="n"/>
      <c r="J65" s="38" t="n"/>
      <c r="K65" s="38" t="n"/>
      <c r="L65" s="33" t="n">
        <v>7</v>
      </c>
    </row>
    <row r="66">
      <c r="A66" s="33" t="inlineStr">
        <is>
          <t>O10</t>
        </is>
      </c>
      <c r="B66" s="33" t="inlineStr">
        <is>
          <t>7</t>
        </is>
      </c>
      <c r="C66" s="34" t="n"/>
      <c r="D66" s="39" t="inlineStr">
        <is>
          <t>✔ Kiểm tra: Bảng kết quả test</t>
        </is>
      </c>
      <c r="E66" s="34" t="n"/>
      <c r="F66" s="34" t="n"/>
      <c r="G66" s="34" t="n"/>
      <c r="H66" s="36" t="b">
        <v>0</v>
      </c>
      <c r="I66" s="37" t="n"/>
      <c r="J66" s="38" t="n"/>
      <c r="K66" s="38" t="n"/>
      <c r="L66" s="33" t="n">
        <v>7</v>
      </c>
    </row>
    <row r="67">
      <c r="A67" s="55" t="inlineStr">
        <is>
          <t>O11</t>
        </is>
      </c>
      <c r="B67" s="55" t="inlineStr">
        <is>
          <t>8</t>
        </is>
      </c>
      <c r="C67" s="55" t="inlineStr">
        <is>
          <t>Test chéo, báo cáo</t>
        </is>
      </c>
      <c r="D67" s="55" t="inlineStr"/>
      <c r="E67" s="55" t="inlineStr">
        <is>
          <t>—</t>
        </is>
      </c>
      <c r="F67" s="55" t="inlineStr">
        <is>
          <t>Danh sách lỗi; phần báo cáo</t>
        </is>
      </c>
      <c r="G67" s="55" t="inlineStr">
        <is>
          <t>7</t>
        </is>
      </c>
      <c r="H67" s="56" t="n"/>
      <c r="I67" s="56" t="n"/>
      <c r="J67" s="56" t="n"/>
      <c r="K67" s="56" t="n"/>
      <c r="L67" s="57" t="n">
        <v>8</v>
      </c>
    </row>
    <row r="68">
      <c r="A68" s="33" t="inlineStr">
        <is>
          <t>O11</t>
        </is>
      </c>
      <c r="B68" s="33" t="inlineStr">
        <is>
          <t>8</t>
        </is>
      </c>
      <c r="C68" s="34" t="n"/>
      <c r="D68" s="35" t="inlineStr">
        <is>
          <t>Test module TV1 (TC10, TC13-TC16, TC19, TC24); viết phần báo cáo giỏ hàng, thanh toán, chống bán vượt.</t>
        </is>
      </c>
      <c r="E68" s="34" t="n"/>
      <c r="F68" s="34" t="n"/>
      <c r="G68" s="34" t="n"/>
      <c r="H68" s="36" t="b">
        <v>0</v>
      </c>
      <c r="I68" s="37" t="n"/>
      <c r="J68" s="38" t="n"/>
      <c r="K68" s="38" t="n"/>
      <c r="L68" s="33" t="n">
        <v>8</v>
      </c>
    </row>
  </sheetData>
  <autoFilter ref="A5:L68"/>
  <mergeCells count="2">
    <mergeCell ref="H2:I2"/>
    <mergeCell ref="B2:D2"/>
  </mergeCells>
  <conditionalFormatting sqref="A6:K68">
    <cfRule type="expression" priority="1" dxfId="1">
      <formula>$H6=TRUE</formula>
    </cfRule>
  </conditionalFormatting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1F1F1F"/>
    <outlinePr summaryBelow="1" summaryRight="1"/>
    <pageSetUpPr/>
  </sheetPr>
  <dimension ref="A1:G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7" customWidth="1" min="4" max="4"/>
    <col width="12" customWidth="1" min="5" max="5"/>
    <col width="16" customWidth="1" min="6" max="6"/>
    <col width="26" customWidth="1" min="7" max="7"/>
  </cols>
  <sheetData>
    <row r="1">
      <c r="A1" s="58" t="inlineStr">
        <is>
          <t>Cổng kiểm tra cuối mỗi giai đoạn</t>
        </is>
      </c>
    </row>
    <row r="2">
      <c r="A2" s="6" t="inlineStr">
        <is>
          <t>Tick ở buổi họp cuối giai đoạn. Chưa đủ thì chưa sang giai đoạn sau (Kế hoạch mục 3).</t>
        </is>
      </c>
    </row>
    <row r="4">
      <c r="A4" s="59" t="inlineStr">
        <is>
          <t>Cổng</t>
        </is>
      </c>
      <c r="B4" s="59" t="inlineStr">
        <is>
          <t>Thời điểm</t>
        </is>
      </c>
      <c r="C4" s="59" t="inlineStr">
        <is>
          <t>Điều kiện</t>
        </is>
      </c>
      <c r="D4" s="59" t="inlineStr">
        <is>
          <t>Đạt</t>
        </is>
      </c>
      <c r="E4" s="59" t="inlineStr">
        <is>
          <t>Ngày</t>
        </is>
      </c>
      <c r="F4" s="59" t="inlineStr">
        <is>
          <t>Người xác nhận</t>
        </is>
      </c>
      <c r="G4" s="59" t="inlineStr">
        <is>
          <t>Ghi chú</t>
        </is>
      </c>
    </row>
    <row r="5">
      <c r="A5" s="60" t="inlineStr">
        <is>
          <t>G0</t>
        </is>
      </c>
      <c r="B5" s="61" t="inlineStr">
        <is>
          <t>Cuối tuần 1, ngày 2</t>
        </is>
      </c>
      <c r="C5" s="61" t="inlineStr">
        <is>
          <t>git clone → mvn spring-boot:run chạy; /swagger-ui.html mở được</t>
        </is>
      </c>
      <c r="D5" s="36" t="b">
        <v>0</v>
      </c>
      <c r="E5" s="37" t="n"/>
      <c r="F5" s="38" t="n"/>
      <c r="G5" s="38" t="n"/>
    </row>
    <row r="6">
      <c r="A6" s="35" t="inlineStr">
        <is>
          <t>G0</t>
        </is>
      </c>
      <c r="B6" s="35" t="inlineStr"/>
      <c r="C6" s="35" t="inlineStr">
        <is>
          <t>Gọi /api/orders không token trả 401 dạng ApiError</t>
        </is>
      </c>
      <c r="D6" s="36" t="b">
        <v>0</v>
      </c>
      <c r="E6" s="37" t="n"/>
      <c r="F6" s="38" t="n"/>
      <c r="G6" s="38" t="n"/>
    </row>
    <row r="7">
      <c r="A7" s="35" t="inlineStr">
        <is>
          <t>G0</t>
        </is>
      </c>
      <c r="B7" s="35" t="inlineStr"/>
      <c r="C7" s="35" t="inlineStr">
        <is>
          <t>npm run dev thấy 3 khu (khách, cửa hàng, admin), mỗi khu trang "Đang xây dựng"</t>
        </is>
      </c>
      <c r="D7" s="36" t="b">
        <v>0</v>
      </c>
      <c r="E7" s="37" t="n"/>
      <c r="F7" s="38" t="n"/>
      <c r="G7" s="38" t="n"/>
    </row>
    <row r="8">
      <c r="A8" s="35" t="inlineStr">
        <is>
          <t>G0</t>
        </is>
      </c>
      <c r="B8" s="35" t="inlineStr"/>
      <c r="C8" s="35" t="inlineStr">
        <is>
          <t>MoneyTest pass; CI xanh trên develop</t>
        </is>
      </c>
      <c r="D8" s="36" t="b">
        <v>0</v>
      </c>
      <c r="E8" s="37" t="n"/>
      <c r="F8" s="38" t="n"/>
      <c r="G8" s="38" t="n"/>
    </row>
    <row r="9">
      <c r="A9" s="35" t="inlineStr">
        <is>
          <t>G0</t>
        </is>
      </c>
      <c r="B9" s="35" t="inlineStr"/>
      <c r="C9" s="35" t="inlineStr">
        <is>
          <t>Mỗi người đã tạo nhánh đầu tiên và mở PR thử</t>
        </is>
      </c>
      <c r="D9" s="36" t="b">
        <v>0</v>
      </c>
      <c r="E9" s="37" t="n"/>
      <c r="F9" s="38" t="n"/>
      <c r="G9" s="38" t="n"/>
    </row>
    <row r="10">
      <c r="A10" s="60" t="inlineStr">
        <is>
          <t>G1</t>
        </is>
      </c>
      <c r="B10" s="61" t="inlineStr">
        <is>
          <t>Cuối tuần 1 (họp ~90 phút)</t>
        </is>
      </c>
      <c r="C10" s="61" t="inlineStr">
        <is>
          <t>Swagger trên develop hiện đủ API ở mục 8 tài liệu dự án (trả dữ liệu giả đúng định dạng)</t>
        </is>
      </c>
      <c r="D10" s="36" t="b">
        <v>0</v>
      </c>
      <c r="E10" s="37" t="n"/>
      <c r="F10" s="38" t="n"/>
      <c r="G10" s="38" t="n"/>
    </row>
    <row r="11">
      <c r="A11" s="35" t="inlineStr">
        <is>
          <t>G1</t>
        </is>
      </c>
      <c r="B11" s="35" t="inlineStr"/>
      <c r="C11" s="35" t="inlineStr">
        <is>
          <t>Cả nhóm duyệt tên trường JSON theo từ điển thuật ngữ</t>
        </is>
      </c>
      <c r="D11" s="36" t="b">
        <v>0</v>
      </c>
      <c r="E11" s="37" t="n"/>
      <c r="F11" s="38" t="n"/>
      <c r="G11" s="38" t="n"/>
    </row>
    <row r="12">
      <c r="A12" s="35" t="inlineStr">
        <is>
          <t>G1</t>
        </is>
      </c>
      <c r="B12" s="35" t="inlineStr"/>
      <c r="C12" s="35" t="inlineStr">
        <is>
          <t>Entity khớp CSDL (ứng dụng chạy với ddl-auto=validate)</t>
        </is>
      </c>
      <c r="D12" s="36" t="b">
        <v>0</v>
      </c>
      <c r="E12" s="37" t="n"/>
      <c r="F12" s="38" t="n"/>
      <c r="G12" s="38" t="n"/>
    </row>
    <row r="13">
      <c r="A13" s="35" t="inlineStr">
        <is>
          <t>G1</t>
        </is>
      </c>
      <c r="B13" s="35" t="inlineStr"/>
      <c r="C13" s="35" t="inlineStr">
        <is>
          <t>StockService có test giữ hàng; TC25 (trigger) đạt</t>
        </is>
      </c>
      <c r="D13" s="36" t="b">
        <v>0</v>
      </c>
      <c r="E13" s="37" t="n"/>
      <c r="F13" s="38" t="n"/>
      <c r="G13" s="38" t="n"/>
    </row>
    <row r="14">
      <c r="A14" s="35" t="inlineStr">
        <is>
          <t>G1</t>
        </is>
      </c>
      <c r="B14" s="35" t="inlineStr"/>
      <c r="C14" s="35" t="inlineStr">
        <is>
          <t>Trang chủ tĩnh đạt mẫu mục 6.4 Quy ước chung</t>
        </is>
      </c>
      <c r="D14" s="36" t="b">
        <v>0</v>
      </c>
      <c r="E14" s="37" t="n"/>
      <c r="F14" s="38" t="n"/>
      <c r="G14" s="38" t="n"/>
    </row>
    <row r="15">
      <c r="A15" s="35" t="inlineStr">
        <is>
          <t>G1</t>
        </is>
      </c>
      <c r="B15" s="35" t="inlineStr"/>
      <c r="C15" s="35" t="inlineStr">
        <is>
          <t>TV1 gắn tag v0.1</t>
        </is>
      </c>
      <c r="D15" s="36" t="b">
        <v>0</v>
      </c>
      <c r="E15" s="37" t="n"/>
      <c r="F15" s="38" t="n"/>
      <c r="G15" s="38" t="n"/>
    </row>
    <row r="16">
      <c r="A16" s="60" t="inlineStr">
        <is>
          <t>G2</t>
        </is>
      </c>
      <c r="B16" s="61" t="inlineStr">
        <is>
          <t>Cuối tuần 3</t>
        </is>
      </c>
      <c r="C16" s="61" t="inlineStr">
        <is>
          <t>Đăng ký GreenMart → admin duyệt với phí 10%</t>
        </is>
      </c>
      <c r="D16" s="36" t="b">
        <v>0</v>
      </c>
      <c r="E16" s="37" t="n"/>
      <c r="F16" s="38" t="n"/>
      <c r="G16" s="38" t="n"/>
    </row>
    <row r="17">
      <c r="A17" s="35" t="inlineStr">
        <is>
          <t>G2</t>
        </is>
      </c>
      <c r="B17" s="35" t="inlineStr"/>
      <c r="C17" s="35" t="inlineStr">
        <is>
          <t>Chủ quán tạo được túi</t>
        </is>
      </c>
      <c r="D17" s="36" t="b">
        <v>0</v>
      </c>
      <c r="E17" s="37" t="n"/>
      <c r="F17" s="38" t="n"/>
      <c r="G17" s="38" t="n"/>
    </row>
    <row r="18">
      <c r="A18" s="35" t="inlineStr">
        <is>
          <t>G2</t>
        </is>
      </c>
      <c r="B18" s="35" t="inlineStr"/>
      <c r="C18" s="35" t="inlineStr">
        <is>
          <t>Khách thấy túi trên trang chủ kèm khoảng cách, lọc được danh mục</t>
        </is>
      </c>
      <c r="D18" s="36" t="b">
        <v>0</v>
      </c>
      <c r="E18" s="37" t="n"/>
      <c r="F18" s="38" t="n"/>
      <c r="G18" s="38" t="n"/>
    </row>
    <row r="19">
      <c r="A19" s="35" t="inlineStr">
        <is>
          <t>G2</t>
        </is>
      </c>
      <c r="B19" s="35" t="inlineStr"/>
      <c r="C19" s="35" t="inlineStr">
        <is>
          <t>Thêm 2 loại túi vào giỏ → đặt → trả thẻ test VNPay → đơn CONFIRMED + PAID</t>
        </is>
      </c>
      <c r="D19" s="36" t="b">
        <v>0</v>
      </c>
      <c r="E19" s="37" t="n"/>
      <c r="F19" s="38" t="n"/>
      <c r="G19" s="38" t="n"/>
    </row>
    <row r="20">
      <c r="A20" s="35" t="inlineStr">
        <is>
          <t>G2</t>
        </is>
      </c>
      <c r="B20" s="35" t="inlineStr"/>
      <c r="C20" s="35" t="inlineStr">
        <is>
          <t>Đạt TC01, TC02, TC03, TC04, TC06, TC09, TC21, TC22</t>
        </is>
      </c>
      <c r="D20" s="36" t="b">
        <v>0</v>
      </c>
      <c r="E20" s="37" t="n"/>
      <c r="F20" s="38" t="n"/>
      <c r="G20" s="38" t="n"/>
    </row>
    <row r="21">
      <c r="A21" s="35" t="inlineStr">
        <is>
          <t>G2</t>
        </is>
      </c>
      <c r="B21" s="35" t="inlineStr"/>
      <c r="C21" s="35" t="inlineStr">
        <is>
          <t>foodrescue_checks.sql sạch; tag v0.3</t>
        </is>
      </c>
      <c r="D21" s="36" t="b">
        <v>0</v>
      </c>
      <c r="E21" s="37" t="n"/>
      <c r="F21" s="38" t="n"/>
      <c r="G21" s="38" t="n"/>
    </row>
    <row r="22">
      <c r="A22" s="60" t="inlineStr">
        <is>
          <t>G3</t>
        </is>
      </c>
      <c r="B22" s="61" t="inlineStr">
        <is>
          <t>Cuối tuần 5</t>
        </is>
      </c>
      <c r="C22" s="61" t="inlineStr">
        <is>
          <t>Chạy được bước 1-6 kịch bản demo mục 14.2 tài liệu dự án</t>
        </is>
      </c>
      <c r="D22" s="36" t="b">
        <v>0</v>
      </c>
      <c r="E22" s="37" t="n"/>
      <c r="F22" s="38" t="n"/>
      <c r="G22" s="38" t="n"/>
    </row>
    <row r="23">
      <c r="A23" s="35" t="inlineStr">
        <is>
          <t>G3</t>
        </is>
      </c>
      <c r="B23" s="35" t="inlineStr"/>
      <c r="C23" s="35" t="inlineStr">
        <is>
          <t>Đạt TC05, TC07, TC08, TC17, TC18, TC23, TC26</t>
        </is>
      </c>
      <c r="D23" s="36" t="b">
        <v>0</v>
      </c>
      <c r="E23" s="37" t="n"/>
      <c r="F23" s="38" t="n"/>
      <c r="G23" s="38" t="n"/>
    </row>
    <row r="24">
      <c r="A24" s="35" t="inlineStr">
        <is>
          <t>G3</t>
        </is>
      </c>
      <c r="B24" s="35" t="inlineStr"/>
      <c r="C24" s="35" t="inlineStr">
        <is>
          <t>Nạp demo_data.sql xong foodrescue_checks.sql vẫn sạch</t>
        </is>
      </c>
      <c r="D24" s="36" t="b">
        <v>0</v>
      </c>
      <c r="E24" s="37" t="n"/>
      <c r="F24" s="38" t="n"/>
      <c r="G24" s="38" t="n"/>
    </row>
    <row r="25">
      <c r="A25" s="35" t="inlineStr">
        <is>
          <t>G3</t>
        </is>
      </c>
      <c r="B25" s="35" t="inlineStr"/>
      <c r="C25" s="35" t="inlineStr">
        <is>
          <t>Tag v0.5 lên main</t>
        </is>
      </c>
      <c r="D25" s="36" t="b">
        <v>0</v>
      </c>
      <c r="E25" s="37" t="n"/>
      <c r="F25" s="38" t="n"/>
      <c r="G25" s="38" t="n"/>
    </row>
    <row r="26">
      <c r="A26" s="60" t="inlineStr">
        <is>
          <t>G4</t>
        </is>
      </c>
      <c r="B26" s="61" t="inlineStr">
        <is>
          <t>Cuối tuần 7</t>
        </is>
      </c>
      <c r="C26" s="61" t="inlineStr">
        <is>
          <t>Đạt TC10-TC16, TC19, TC24</t>
        </is>
      </c>
      <c r="D26" s="36" t="b">
        <v>0</v>
      </c>
      <c r="E26" s="37" t="n"/>
      <c r="F26" s="38" t="n"/>
      <c r="G26" s="38" t="n"/>
    </row>
    <row r="27">
      <c r="A27" s="35" t="inlineStr">
        <is>
          <t>G4</t>
        </is>
      </c>
      <c r="B27" s="35" t="inlineStr"/>
      <c r="C27" s="35" t="inlineStr">
        <is>
          <t>Chạy đủ 26 test case một lượt, ghi kết quả</t>
        </is>
      </c>
      <c r="D27" s="36" t="b">
        <v>0</v>
      </c>
      <c r="E27" s="37" t="n"/>
      <c r="F27" s="38" t="n"/>
      <c r="G27" s="38" t="n"/>
    </row>
    <row r="28">
      <c r="A28" s="35" t="inlineStr">
        <is>
          <t>G4</t>
        </is>
      </c>
      <c r="B28" s="35" t="inlineStr"/>
      <c r="C28" s="35" t="inlineStr">
        <is>
          <t>Trang đối soát và câu C0 cùng ra chênh lệch 0</t>
        </is>
      </c>
      <c r="D28" s="36" t="b">
        <v>0</v>
      </c>
      <c r="E28" s="37" t="n"/>
      <c r="F28" s="38" t="n"/>
      <c r="G28" s="38" t="n"/>
    </row>
    <row r="29">
      <c r="A29" s="35" t="inlineStr">
        <is>
          <t>G4</t>
        </is>
      </c>
      <c r="B29" s="35" t="inlineStr"/>
      <c r="C29" s="35" t="inlineStr">
        <is>
          <t>Dừng thêm tính năng mới; tag v0.9</t>
        </is>
      </c>
      <c r="D29" s="36" t="b">
        <v>0</v>
      </c>
      <c r="E29" s="37" t="n"/>
      <c r="F29" s="38" t="n"/>
      <c r="G29" s="38" t="n"/>
    </row>
    <row r="30">
      <c r="A30" s="60" t="inlineStr">
        <is>
          <t>GĐ5</t>
        </is>
      </c>
      <c r="B30" s="61" t="inlineStr">
        <is>
          <t>Tuần 8</t>
        </is>
      </c>
      <c r="C30" s="61" t="inlineStr">
        <is>
          <t>Ngày 1: chạy lại schema; test chéo (TV1→TV4, TV2→TV3, TV3→TV2, TV4→TV1); ghi lỗi vào Issues</t>
        </is>
      </c>
      <c r="D30" s="36" t="b">
        <v>0</v>
      </c>
      <c r="E30" s="37" t="n"/>
      <c r="F30" s="38" t="n"/>
      <c r="G30" s="38" t="n"/>
    </row>
    <row r="31">
      <c r="A31" s="35" t="inlineStr">
        <is>
          <t>GĐ5</t>
        </is>
      </c>
      <c r="B31" s="35" t="inlineStr"/>
      <c r="C31" s="35" t="inlineStr">
        <is>
          <t>Ngày 2-3: sửa lỗi mức cao (tiền, kho, phân quyền); chạy lại checks và 26 test case</t>
        </is>
      </c>
      <c r="D31" s="36" t="b">
        <v>0</v>
      </c>
      <c r="E31" s="37" t="n"/>
      <c r="F31" s="38" t="n"/>
      <c r="G31" s="38" t="n"/>
    </row>
    <row r="32">
      <c r="A32" s="35" t="inlineStr">
        <is>
          <t>GĐ5</t>
        </is>
      </c>
      <c r="B32" s="35" t="inlineStr"/>
      <c r="C32" s="35" t="inlineStr">
        <is>
          <t>Ngày 4: merge develop → main, tag v1.0, (tuỳ chọn) deploy; mỗi người viết phần báo cáo</t>
        </is>
      </c>
      <c r="D32" s="36" t="b">
        <v>0</v>
      </c>
      <c r="E32" s="37" t="n"/>
      <c r="F32" s="38" t="n"/>
      <c r="G32" s="38" t="n"/>
    </row>
    <row r="33">
      <c r="A33" s="35" t="inlineStr">
        <is>
          <t>GĐ5</t>
        </is>
      </c>
      <c r="B33" s="35" t="inlineStr"/>
      <c r="C33" s="35" t="inlineStr">
        <is>
          <t>Ngày 5: ghép báo cáo, slide; tập demo 2 lần; quay video dự phòng</t>
        </is>
      </c>
      <c r="D33" s="36" t="b">
        <v>0</v>
      </c>
      <c r="E33" s="37" t="n"/>
      <c r="F33" s="38" t="n"/>
      <c r="G33" s="38" t="n"/>
    </row>
  </sheetData>
  <conditionalFormatting sqref="A5:G33">
    <cfRule type="expression" priority="1" dxfId="1">
      <formula>$D5=TRUE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2026-09-27T08:09:32Z</dcterms:created>
  <dcterms:modified xmlns:dcterms="http://purl.org/dc/terms/" xmlns:xsi="http://www.w3.org/2001/XMLSchema-instance" xsi:type="dcterms:W3CDTF">2026-09-27T08:09:32Z</dcterms:modified>
</cp:coreProperties>
</file>