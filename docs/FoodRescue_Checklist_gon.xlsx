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j2ee\foodrescue\docs\"/>
    </mc:Choice>
  </mc:AlternateContent>
  <xr:revisionPtr revIDLastSave="0" documentId="13_ncr:1_{72A3E431-7A13-4317-8B68-4E4739F598F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hecklist" sheetId="1" r:id="rId1"/>
  </sheets>
  <definedNames>
    <definedName name="_xlnm._FilterDatabase" localSheetId="0" hidden="1">Checklist!$A$12:$I$81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" i="1" l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F5" i="1" s="1"/>
  <c r="J15" i="1"/>
  <c r="J14" i="1"/>
  <c r="J13" i="1"/>
  <c r="E9" i="1"/>
  <c r="D9" i="1"/>
  <c r="E8" i="1"/>
  <c r="D8" i="1"/>
  <c r="E7" i="1"/>
  <c r="D7" i="1"/>
  <c r="E6" i="1"/>
  <c r="D6" i="1"/>
  <c r="E5" i="1"/>
  <c r="D5" i="1"/>
  <c r="F8" i="1" l="1"/>
  <c r="F9" i="1"/>
  <c r="F6" i="1"/>
  <c r="F7" i="1"/>
</calcChain>
</file>

<file path=xl/sharedStrings.xml><?xml version="1.0" encoding="utf-8"?>
<sst xmlns="http://schemas.openxmlformats.org/spreadsheetml/2006/main" count="374" uniqueCount="223">
  <si>
    <t>FoodRescue · Checklist công việc</t>
  </si>
  <si>
    <t>Làm xong việc nào thì tick cột Xong. Bảng dưới tự hiện % và việc tiếp theo của từng người (dòng tô vàng trong danh sách). Chỉ sửa ô vàng. Chi tiết từng việc: docs/FoodRescue_KeHoachPhanCong.pdf mục 4.</t>
  </si>
  <si>
    <t>Người</t>
  </si>
  <si>
    <t>Tên</t>
  </si>
  <si>
    <t>Tiến độ</t>
  </si>
  <si>
    <t>Xong</t>
  </si>
  <si>
    <t>Việc tiếp theo  →  sau đó</t>
  </si>
  <si>
    <t>TV1</t>
  </si>
  <si>
    <t>TV2</t>
  </si>
  <si>
    <t>TV3</t>
  </si>
  <si>
    <t>TV4</t>
  </si>
  <si>
    <t>Cả nhóm</t>
  </si>
  <si>
    <t>Đổi cột Xong thành ô tick (làm 1 lần): Google Sheets: chọn G13:G81 → Chèn → Hộp kiểm. Excel 365: chọn cột → Insert → Checkbox. Excel cũ: gõ TRUE khi xong.</t>
  </si>
  <si>
    <t>Danh sách việc (theo tuần)</t>
  </si>
  <si>
    <t>Tuần</t>
  </si>
  <si>
    <t>Mã</t>
  </si>
  <si>
    <t>Việc</t>
  </si>
  <si>
    <t>Cần có trước</t>
  </si>
  <si>
    <t>Xong khi (kết quả / kiểm tra)</t>
  </si>
  <si>
    <t>Ngày xong</t>
  </si>
  <si>
    <t>Ghi chú / link PR</t>
  </si>
  <si>
    <t>(tự tính)</t>
  </si>
  <si>
    <t>C0</t>
  </si>
  <si>
    <t>Chuẩn bị máy: cài công cụ, clone repo, chạy CSDL, backend, frontend</t>
  </si>
  <si>
    <t>—</t>
  </si>
  <si>
    <t>Máy chạy được /api/ping và localhost:5173; mở PR thử thấy CI chạy</t>
  </si>
  <si>
    <t>F1</t>
  </si>
  <si>
    <t>Tạo repo</t>
  </si>
  <si>
    <t>Repo có develop; mọi người clone được · Kiểm tra: Push thẳng lên develop bị từ chối</t>
  </si>
  <si>
    <t>F2</t>
  </si>
  <si>
    <t>Khung Spring Boot</t>
  </si>
  <si>
    <t>mvn spring-boot:run nối được foodrescuedb; Swagger mở được · Kiểm tra: MoneyTest pass; /api/ping trả 200</t>
  </si>
  <si>
    <t>F5</t>
  </si>
  <si>
    <t>Khung React</t>
  </si>
  <si>
    <t>npm run dev thấy 3 khu; npm run build chạy được · Kiểm tra: Mở /admin khi chưa đăng nhập thì về /login</t>
  </si>
  <si>
    <t>F3</t>
  </si>
  <si>
    <t>13 entity</t>
  </si>
  <si>
    <t>13 entity + 13 repository; sau đó chỉ sửa qua PR [DB] · Kiểm tra: Ứng dụng khởi động không lỗi validate</t>
  </si>
  <si>
    <t>F4</t>
  </si>
  <si>
    <t>Bảo mật JWT</t>
  </si>
  <si>
    <t>Mọi người gọi API có quyền bằng DevAuth · Kiểm tra: Không token → 401; X-Dev-User-Id: 8 gọi /api/admin/.. → 403; 1 → 200</t>
  </si>
  <si>
    <t>F8</t>
  </si>
  <si>
    <t>3 hàm dùng chung</t>
  </si>
  <si>
    <t>3 service để TV2, TV4 gọi · Kiểm tra: Test: 10 luồng giữ túi còn 1 → đúng 1 thành công; C1b sạch; TC25</t>
  </si>
  <si>
    <t>F6, F7</t>
  </si>
  <si>
    <t>Lưu file, Postman</t>
  </si>
  <si>
    <t>Upload được ảnh; collection chung · Kiểm tra: Upload file .exe đổi đuôi .jpg bị từ chối</t>
  </si>
  <si>
    <t>H1</t>
  </si>
  <si>
    <t>Hợp đồng API</t>
  </si>
  <si>
    <t>API hiện trên Swagger · Kiểm tra: Duyệt ở cổng G1</t>
  </si>
  <si>
    <t>S0</t>
  </si>
  <si>
    <t>Ghim bản đồ, giao diện tĩnh</t>
  </si>
  <si>
    <t>Component ghim + 2 trang tĩnh · Kiểm tra: Ghim ra đúng toạ độ</t>
  </si>
  <si>
    <t>H2</t>
  </si>
  <si>
    <t>API hiện trên Swagger · Kiểm tra: Duyệt ở G1</t>
  </si>
  <si>
    <t>B0</t>
  </si>
  <si>
    <t>Thử OSRM, làm ảnh</t>
  </si>
  <si>
    <t>Kết quả OSRM; bộ ảnh trong frontend/src/assets · Kiểm tra: So quãng đường với Google Maps</t>
  </si>
  <si>
    <t>B14</t>
  </si>
  <si>
    <t>Bộ component dùng chung</t>
  </si>
  <si>
    <t>Bộ component cho cả nhóm; trang chủ tĩnh giống mô phỏng · Kiểm tra: TV1 duyệt PR (nhãn shared-change)</t>
  </si>
  <si>
    <t>H3</t>
  </si>
  <si>
    <t>O0</t>
  </si>
  <si>
    <t>Chuẩn bị VNPay</t>
  </si>
  <si>
    <t>Hàm ký đúng; đã trả tiền thử thành công · Kiểm tra: Link mở được trang VNPay</t>
  </si>
  <si>
    <t>H4</t>
  </si>
  <si>
    <t>G0</t>
  </si>
  <si>
    <t>Cổng G0: backend, frontend, CSDL chạy trên máy mọi người; CI xanh</t>
  </si>
  <si>
    <t>Cả nhóm cùng kiểm tra ở buổi họp cuối giai đoạn</t>
  </si>
  <si>
    <t>G1</t>
  </si>
  <si>
    <t>Cổng G1: Swagger đủ API giả; entity khớp CSDL; trang chủ tĩnh đạt mẫu; tag v0.1</t>
  </si>
  <si>
    <t>A1</t>
  </si>
  <si>
    <t>API tài khoản</t>
  </si>
  <si>
    <t>11 tài khoản mẫu đăng nhập được (mật khẩu 123456) · Kiểm tra: Postman thư mục Auth; một phần TC24</t>
  </si>
  <si>
    <t>A2</t>
  </si>
  <si>
    <t>Trang tài khoản</t>
  </si>
  <si>
    <t>Cả nhóm bỏ DevAuth ở frontend, dùng đăng nhập thật · Kiểm tra: Đăng nhập 4 vai trò vào đúng khu</t>
  </si>
  <si>
    <t>S1</t>
  </si>
  <si>
    <t>API đăng ký cửa hàng</t>
  </si>
  <si>
    <t>F4, F6</t>
  </si>
  <si>
    <t>Đăng ký bằng Postman ra cửa hàng PENDING · Kiểm tra: Đăng ký lần 2 cùng email → EMAIL_EXISTS</t>
  </si>
  <si>
    <t>S2</t>
  </si>
  <si>
    <t>Trang đăng ký cửa hàng</t>
  </si>
  <si>
    <t>Đăng ký được trên giao diện · Kiểm tra: Thử với dữ liệu thiếu, sai</t>
  </si>
  <si>
    <t>B1</t>
  </si>
  <si>
    <t>API danh sách túi</t>
  </si>
  <si>
    <t>API trả túi thật · Kiểm tra: Túi của cửa hàng PENDING không hiện</t>
  </si>
  <si>
    <t>B2</t>
  </si>
  <si>
    <t>Trang chủ</t>
  </si>
  <si>
    <t>B1, B14</t>
  </si>
  <si>
    <t>Trang chủ chạy dữ liệu thật · Kiểm tra: Lọc danh mục đúng</t>
  </si>
  <si>
    <t>O12</t>
  </si>
  <si>
    <t>API giỏ hàng</t>
  </si>
  <si>
    <t>Giỏ hàng chạy qua Postman · Kiểm tra: TC21 (backend)</t>
  </si>
  <si>
    <t>O1</t>
  </si>
  <si>
    <t>API tạo đơn</t>
  </si>
  <si>
    <t>F8, O12</t>
  </si>
  <si>
    <t>Tạo đơn nhiều túi đúng tiền, đúng kho · Kiểm tra: C1-C5 sạch sau khi tạo đơn</t>
  </si>
  <si>
    <t>O2</t>
  </si>
  <si>
    <t>Test đặt đồng thời</t>
  </si>
  <si>
    <t>Test tự động chạy trong CI · Kiểm tra: TC01, TC22</t>
  </si>
  <si>
    <t>A5</t>
  </si>
  <si>
    <t>Admin đơn hàng, hoàn tiền</t>
  </si>
  <si>
    <t>F8, seed</t>
  </si>
  <si>
    <t>Admin xử lý được đơn và hoàn tiền · Kiểm tra: TC10 (phần admin), TC15; C6 sạch</t>
  </si>
  <si>
    <t>S3</t>
  </si>
  <si>
    <t>Admin duyệt cửa hàng</t>
  </si>
  <si>
    <t>Duyệt GreenMart với phí 10% · Kiểm tra: Nhật ký có STORE_APPROVED</t>
  </si>
  <si>
    <t>S4</t>
  </si>
  <si>
    <t>API túi</t>
  </si>
  <si>
    <t>Tạo, sửa túi bằng API · Kiểm tra: TC09; C1b sạch</t>
  </si>
  <si>
    <t>B3</t>
  </si>
  <si>
    <t>Tính khoảng cách</t>
  </si>
  <si>
    <t>Mọi thẻ túi có khoảng cách · Kiểm tra: TC06</t>
  </si>
  <si>
    <t>B4</t>
  </si>
  <si>
    <t>Vị trí người dùng</t>
  </si>
  <si>
    <t>Khoảng cách theo đúng vị trí người dùng · Kiểm tra: Từ chối quyền vị trí vẫn dùng được</t>
  </si>
  <si>
    <t>B12</t>
  </si>
  <si>
    <t>Admin danh mục</t>
  </si>
  <si>
    <t>F6</t>
  </si>
  <si>
    <t>Admin quản lý danh mục · Kiểm tra: Đổi thứ tự → thanh danh mục đổi theo</t>
  </si>
  <si>
    <t>O3</t>
  </si>
  <si>
    <t>Tích hợp VNPay</t>
  </si>
  <si>
    <t>O0, O1</t>
  </si>
  <si>
    <t>Thanh toán thật trên sandbox · Kiểm tra: TC02, TC03, TC04, TC17</t>
  </si>
  <si>
    <t>O4</t>
  </si>
  <si>
    <t>Giỏ hàng, kết quả thanh toán</t>
  </si>
  <si>
    <t>O12, O3</t>
  </si>
  <si>
    <t>Mua hàng trọn vẹn trên giao diện · Kiểm tra: Làm lại TC02, TC21 trên giao diện</t>
  </si>
  <si>
    <t>G2</t>
  </si>
  <si>
    <t>Cổng G2: đăng ký → duyệt → tìm túi → giỏ → VNPay chạy thật; 8 test case đạt; tag v0.3</t>
  </si>
  <si>
    <t>S5</t>
  </si>
  <si>
    <t>Trang quản lý túi</t>
  </si>
  <si>
    <t>Chủ quán quản lý túi trên giao diện · Kiểm tra: Tạo túi mới hiện ngay trên trang chủ</t>
  </si>
  <si>
    <t>S6</t>
  </si>
  <si>
    <t>Huỷ túi</t>
  </si>
  <si>
    <t>Huỷ túi an toàn · Kiểm tra: TC26; C1c, C6 sạch</t>
  </si>
  <si>
    <t>B5</t>
  </si>
  <si>
    <t>Trang bản đồ</t>
  </si>
  <si>
    <t>Tìm túi trên bản đồ · Kiểm tra: Marker khớp danh sách</t>
  </si>
  <si>
    <t>B6</t>
  </si>
  <si>
    <t>Chi tiết túi</t>
  </si>
  <si>
    <t>B1, O4</t>
  </si>
  <si>
    <t>Thêm vào giỏ từ trang chi tiết · Kiểm tra: TC21 trên giao diện</t>
  </si>
  <si>
    <t>O5</t>
  </si>
  <si>
    <t>Đơn của tôi</t>
  </si>
  <si>
    <t>seed</t>
  </si>
  <si>
    <t>Khách theo dõi được đơn · Kiểm tra: Huỷ đơn chưa trả → C1c sạch</t>
  </si>
  <si>
    <t>O6</t>
  </si>
  <si>
    <t>2 tác vụ tự động</t>
  </si>
  <si>
    <t>Đơn và túi tự đổi trạng thái · Kiểm tra: TC05; C1c, C5 sạch</t>
  </si>
  <si>
    <t>A9</t>
  </si>
  <si>
    <t>Trang nhật ký</t>
  </si>
  <si>
    <t>Thấy toàn bộ thao tác tiền và quản trị · Kiểm tra: Các thao tác ở G2-G3 đều có dòng log; C12 sạch</t>
  </si>
  <si>
    <t>S7</t>
  </si>
  <si>
    <t>Hồ sơ cửa hàng</t>
  </si>
  <si>
    <t>Chủ quán sửa được hồ sơ · Kiểm tra: Đổi vị trí → khoảng cách ở trang chủ đổi theo</t>
  </si>
  <si>
    <t>S8</t>
  </si>
  <si>
    <t>Thêm / bớt túi, sổ kho</t>
  </si>
  <si>
    <t>S4, F8</t>
  </si>
  <si>
    <t>Thêm / bớt túi, xem sổ kho · Kiểm tra: TC18, TC23; C1, C1b sạch</t>
  </si>
  <si>
    <t>B7</t>
  </si>
  <si>
    <t>Trang cửa hàng</t>
  </si>
  <si>
    <t>Trang cửa hàng công khai · Kiểm tra: Cửa hàng bị khoá trả 404</t>
  </si>
  <si>
    <t>B11</t>
  </si>
  <si>
    <t>Dữ liệu demo</t>
  </si>
  <si>
    <t>Bản đồ, danh sách đầy túi để demo · Kiểm tra: Chạy xong foodrescue_checks.sql vẫn sạch</t>
  </si>
  <si>
    <t>O7</t>
  </si>
  <si>
    <t>Màn hình quầy</t>
  </si>
  <si>
    <t>Nhân viên thấy đơn mới · Kiểm tra: Đơn mới hiện sau ≤ 15 giây</t>
  </si>
  <si>
    <t>O8</t>
  </si>
  <si>
    <t>Giao hàng bằng mã</t>
  </si>
  <si>
    <t>Giao hàng tại quầy · Kiểm tra: TC07, TC08; C11 sạch</t>
  </si>
  <si>
    <t>G3</t>
  </si>
  <si>
    <t>Cổng G3: trọn luồng đến giao hàng tại quầy; 7 test case đạt; tag v0.5</t>
  </si>
  <si>
    <t>A6</t>
  </si>
  <si>
    <t>Chi trả theo kỳ</t>
  </si>
  <si>
    <t>Admin chi trả trọn vòng; TV2 dùng được hàm · Kiểm tra: TC13, TC14; C7, C8, C9 sạch</t>
  </si>
  <si>
    <t>S9</t>
  </si>
  <si>
    <t>Nhân viên</t>
  </si>
  <si>
    <t>Chủ quán quản lý nhân viên · Kiểm tra: Nhân viên mới đăng nhập bị bắt đổi mật khẩu, chỉ thấy menu quầy + túi</t>
  </si>
  <si>
    <t>S13</t>
  </si>
  <si>
    <t>Admin người dùng</t>
  </si>
  <si>
    <t>Admin quản lý tài khoản · Kiểm tra: TC24</t>
  </si>
  <si>
    <t>B8</t>
  </si>
  <si>
    <t>Đánh giá</t>
  </si>
  <si>
    <t>Khách đánh giá được · Kiểm tra: TC12; C10 sạch</t>
  </si>
  <si>
    <t>O9</t>
  </si>
  <si>
    <t>Đơn của cửa hàng, huỷ đơn</t>
  </si>
  <si>
    <t>Cửa hàng xử lý đơn hết hàng · Kiểm tra: TC10 (phần cửa hàng)</t>
  </si>
  <si>
    <t>A7</t>
  </si>
  <si>
    <t>Đối soát</t>
  </si>
  <si>
    <t>Trang đối soát · Kiểm tra: TC16; số liệu trùng câu C0</t>
  </si>
  <si>
    <t>S10</t>
  </si>
  <si>
    <t>Doanh thu, sao kê, rút tiền</t>
  </si>
  <si>
    <t>Cửa hàng xem và rút được tiền · Kiểm tra: TC19; số liệu trùng câu C13</t>
  </si>
  <si>
    <t>B9</t>
  </si>
  <si>
    <t>Hoàn thiện giao diện</t>
  </si>
  <si>
    <t>Giao diện khách dùng tốt trên điện thoại · Kiểm tra: Buổi review giao diện cuối tuần 7</t>
  </si>
  <si>
    <t>B13</t>
  </si>
  <si>
    <t>Thống kê chung</t>
  </si>
  <si>
    <t>Trang tổng quan admin · Kiểm tra: Số liệu khớp câu C13</t>
  </si>
  <si>
    <t>O10</t>
  </si>
  <si>
    <t>Kiểm tra toàn luồng đơn</t>
  </si>
  <si>
    <t>Luồng đơn không lỗi · Kiểm tra: Bảng kết quả test</t>
  </si>
  <si>
    <t>G4</t>
  </si>
  <si>
    <t>Cổng G4: đủ tính năng, chạy đủ 26 test case, đối soát = 0; tag v0.9</t>
  </si>
  <si>
    <t>A8</t>
  </si>
  <si>
    <t>Phát hành, báo cáo</t>
  </si>
  <si>
    <t>tất cả</t>
  </si>
  <si>
    <t>Bản cuối, báo cáo, slide · Kiểm tra: Tập demo 2 lần</t>
  </si>
  <si>
    <t>S11, S12</t>
  </si>
  <si>
    <t>Test chéo, báo cáo</t>
  </si>
  <si>
    <t>Danh sách lỗi; phần báo cáo</t>
  </si>
  <si>
    <t>B10</t>
  </si>
  <si>
    <t>O11</t>
  </si>
  <si>
    <t>v1.0</t>
  </si>
  <si>
    <t>Hoàn thiện: test chéo, sửa lỗi, tag v1.0, báo cáo, slide, tập demo</t>
  </si>
  <si>
    <t>Hoàng</t>
  </si>
  <si>
    <t>TV</t>
  </si>
  <si>
    <t>An</t>
  </si>
  <si>
    <t>Ân</t>
  </si>
  <si>
    <t>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</si>
</sst>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Calibri"/>
      <family val="2"/>
      <scheme val="minor"/>
    </font>
    <font>
      <b/>
      <sz val="15"/>
      <color rgb="FFFF7A1A"/>
      <name val="Arial"/>
      <family val="2"/>
    </font>
    <font>
      <i/>
      <sz val="9"/>
      <color rgb="FF5B6770"/>
      <name val="Arial"/>
      <family val="2"/>
    </font>
    <font>
      <b/>
      <sz val="11"/>
      <color rgb="FFFFFFFF"/>
      <name val="Arial"/>
      <family val="2"/>
    </font>
    <font>
      <b/>
      <sz val="11"/>
      <color rgb="FF1E8E4E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D9731A"/>
      <name val="Arial"/>
      <family val="2"/>
    </font>
    <font>
      <b/>
      <sz val="11"/>
      <color rgb="FF2C7BE5"/>
      <name val="Arial"/>
      <family val="2"/>
    </font>
    <font>
      <b/>
      <sz val="11"/>
      <color rgb="FF7B4BC4"/>
      <name val="Arial"/>
      <family val="2"/>
    </font>
    <font>
      <b/>
      <sz val="11"/>
      <color rgb="FF1F1F1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1E8E4E"/>
      <name val="Arial"/>
      <family val="2"/>
    </font>
    <font>
      <sz val="8"/>
      <color rgb="FF9CA3AF"/>
      <name val="Arial"/>
      <family val="2"/>
    </font>
    <font>
      <sz val="10"/>
      <color rgb="FFD9731A"/>
      <name val="Arial"/>
      <family val="2"/>
    </font>
    <font>
      <sz val="10"/>
      <color rgb="FF2C7BE5"/>
      <name val="Arial"/>
      <family val="2"/>
    </font>
    <font>
      <sz val="10"/>
      <color rgb="FF7B4BC4"/>
      <name val="Arial"/>
      <family val="2"/>
    </font>
    <font>
      <sz val="10"/>
      <color rgb="FF1F1F1F"/>
      <name val="Arial"/>
      <family val="2"/>
    </font>
    <font>
      <b/>
      <sz val="10"/>
      <name val="Arial"/>
      <family val="2"/>
    </font>
    <font>
      <sz val="9"/>
      <color rgb="FF5B677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D5DDE2"/>
      </left>
      <right style="thin">
        <color rgb="FFD5DDE2"/>
      </right>
      <top style="thin">
        <color rgb="FFD5DDE2"/>
      </top>
      <bottom style="thin">
        <color rgb="FFD5DDE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5" fillId="3" borderId="1" xfId="0" applyFont="1" applyFill="1" applyBorder="1"/>
    <xf numFmtId="9" fontId="6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center" vertical="top"/>
    </xf>
    <xf numFmtId="164" fontId="12" fillId="3" borderId="1" xfId="0" applyNumberFormat="1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14" fillId="0" borderId="0" xfId="0" applyFont="1"/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0" xfId="0" applyFont="1"/>
    <xf numFmtId="0" fontId="0" fillId="0" borderId="0" xfId="0"/>
    <xf numFmtId="0" fontId="3" fillId="2" borderId="0" xfId="0" applyFont="1" applyFill="1" applyAlignment="1">
      <alignment horizontal="center"/>
    </xf>
    <xf numFmtId="0" fontId="10" fillId="0" borderId="1" xfId="0" applyFont="1" applyBorder="1"/>
    <xf numFmtId="0" fontId="0" fillId="0" borderId="1" xfId="0" applyBorder="1"/>
    <xf numFmtId="0" fontId="4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2" fillId="0" borderId="0" xfId="0" applyFont="1" applyAlignment="1">
      <alignment wrapText="1"/>
    </xf>
    <xf numFmtId="0" fontId="8" fillId="0" borderId="1" xfId="0" applyFont="1" applyBorder="1"/>
  </cellXfs>
  <cellStyles count="1">
    <cellStyle name="Normal" xfId="0" builtinId="0"/>
  </cellStyles>
  <dxfs count="2">
    <dxf>
      <font>
        <strike/>
        <color rgb="FF9CA3AF"/>
        <name val="Arial"/>
      </font>
      <fill>
        <patternFill patternType="solid">
          <fgColor rgb="FFE3F4E8"/>
        </patternFill>
      </fill>
    </dxf>
    <dxf>
      <font>
        <b/>
        <name val="Arial"/>
      </font>
      <fill>
        <patternFill patternType="solid">
          <fgColor rgb="FFFFE9A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zoomScale="81" workbookViewId="0">
      <pane ySplit="12" topLeftCell="A17" activePane="bottomLeft" state="frozen"/>
      <selection pane="bottomLeft" activeCell="K6" sqref="K6:K8"/>
    </sheetView>
  </sheetViews>
  <sheetFormatPr defaultRowHeight="14.4" x14ac:dyDescent="0.3"/>
  <cols>
    <col min="1" max="1" width="7" customWidth="1"/>
    <col min="2" max="2" width="10" customWidth="1"/>
    <col min="3" max="3" width="7" customWidth="1"/>
    <col min="4" max="4" width="46" customWidth="1"/>
    <col min="5" max="5" width="12" customWidth="1"/>
    <col min="6" max="6" width="52" customWidth="1"/>
    <col min="7" max="7" width="7" customWidth="1"/>
    <col min="8" max="8" width="12" customWidth="1"/>
    <col min="9" max="9" width="26" customWidth="1"/>
    <col min="10" max="10" width="9" hidden="1" customWidth="1"/>
  </cols>
  <sheetData>
    <row r="1" spans="1:11" ht="19.2" x14ac:dyDescent="0.35">
      <c r="A1" s="1" t="s">
        <v>0</v>
      </c>
    </row>
    <row r="2" spans="1:11" ht="25.95" customHeight="1" x14ac:dyDescent="0.3">
      <c r="A2" s="29" t="s">
        <v>1</v>
      </c>
      <c r="B2" s="22"/>
      <c r="C2" s="22"/>
      <c r="D2" s="22"/>
      <c r="E2" s="22"/>
      <c r="F2" s="22"/>
      <c r="G2" s="22"/>
      <c r="H2" s="22"/>
      <c r="I2" s="22"/>
    </row>
    <row r="4" spans="1:11" x14ac:dyDescent="0.3">
      <c r="A4" s="23" t="s">
        <v>2</v>
      </c>
      <c r="B4" s="22"/>
      <c r="C4" s="2" t="s">
        <v>3</v>
      </c>
      <c r="D4" s="2" t="s">
        <v>4</v>
      </c>
      <c r="E4" s="2" t="s">
        <v>5</v>
      </c>
      <c r="F4" s="23" t="s">
        <v>6</v>
      </c>
      <c r="G4" s="22"/>
      <c r="H4" s="22"/>
      <c r="I4" s="22"/>
      <c r="K4" s="2" t="s">
        <v>219</v>
      </c>
    </row>
    <row r="5" spans="1:11" x14ac:dyDescent="0.3">
      <c r="A5" s="26" t="s">
        <v>7</v>
      </c>
      <c r="B5" s="25"/>
      <c r="C5" s="3"/>
      <c r="D5" s="4">
        <f>IFERROR(COUNTIFS($B$13:$B$81,"TV1",$G$13:$G$81,TRUE)/(COUNTIFS($B$13:$B$81,"TV1",$G$13:$G$81,TRUE)+COUNTIFS($B$13:$B$81,"TV1",$G$13:$G$81,FALSE)),0)</f>
        <v>0.375</v>
      </c>
      <c r="E5" s="5" t="str">
        <f>COUNTIFS($B$13:$B$81,"TV1",$G$13:$G$81,TRUE)&amp;"/"&amp;(COUNTIFS($B$13:$B$81,"TV1",$G$13:$G$81,TRUE)+COUNTIFS($B$13:$B$81,"TV1",$G$13:$G$81,FALSE))</f>
        <v>6/16</v>
      </c>
      <c r="F5" s="26" t="str">
        <f>IF(IFERROR(INDEX($C$13:$C$81,MATCH("TV1#1",$J$13:$J$81,0))&amp;" "&amp;INDEX($D$13:$D$81,MATCH("TV1#1",$J$13:$J$81,0)),"")="","Đã xong hết",IFERROR(INDEX($C$13:$C$81,MATCH("TV1#1",$J$13:$J$81,0))&amp;" "&amp;INDEX($D$13:$D$81,MATCH("TV1#1",$J$13:$J$81,0)),"")&amp;IF(IFERROR(INDEX($C$13:$C$81,MATCH("TV1#2",$J$13:$J$81,0)),"")="",""," →  "&amp;IFERROR(INDEX($C$13:$C$81,MATCH("TV1#2",$J$13:$J$81,0)),"")))</f>
        <v>F8 3 hàm dùng chung →  F6, F7</v>
      </c>
      <c r="G5" s="25"/>
      <c r="H5" s="25"/>
      <c r="I5" s="25"/>
      <c r="K5" t="s">
        <v>218</v>
      </c>
    </row>
    <row r="6" spans="1:11" x14ac:dyDescent="0.3">
      <c r="A6" s="28" t="s">
        <v>8</v>
      </c>
      <c r="B6" s="25"/>
      <c r="C6" s="3"/>
      <c r="D6" s="4">
        <f>IFERROR(COUNTIFS($B$13:$B$81,"TV2",$G$13:$G$81,TRUE)/(COUNTIFS($B$13:$B$81,"TV2",$G$13:$G$81,TRUE)+COUNTIFS($B$13:$B$81,"TV2",$G$13:$G$81,FALSE)),0)</f>
        <v>0</v>
      </c>
      <c r="E6" s="5" t="str">
        <f>COUNTIFS($B$13:$B$81,"TV2",$G$13:$G$81,TRUE)&amp;"/"&amp;(COUNTIFS($B$13:$B$81,"TV2",$G$13:$G$81,TRUE)+COUNTIFS($B$13:$B$81,"TV2",$G$13:$G$81,FALSE))</f>
        <v>0/15</v>
      </c>
      <c r="F6" s="28" t="str">
        <f>IF(IFERROR(INDEX($C$13:$C$81,MATCH("TV2#1",$J$13:$J$81,0))&amp;" "&amp;INDEX($D$13:$D$81,MATCH("TV2#1",$J$13:$J$81,0)),"")="","Đã xong hết",IFERROR(INDEX($C$13:$C$81,MATCH("TV2#1",$J$13:$J$81,0))&amp;" "&amp;INDEX($D$13:$D$81,MATCH("TV2#1",$J$13:$J$81,0)),"")&amp;IF(IFERROR(INDEX($C$13:$C$81,MATCH("TV2#2",$J$13:$J$81,0)),"")="",""," →  "&amp;IFERROR(INDEX($C$13:$C$81,MATCH("TV2#2",$J$13:$J$81,0)),"")))</f>
        <v>C0 Chuẩn bị máy: cài công cụ, clone repo, chạy CSDL, backend, frontend →  S0</v>
      </c>
      <c r="G6" s="25"/>
      <c r="H6" s="25"/>
      <c r="I6" s="25"/>
      <c r="K6" t="s">
        <v>220</v>
      </c>
    </row>
    <row r="7" spans="1:11" x14ac:dyDescent="0.3">
      <c r="A7" s="30" t="s">
        <v>9</v>
      </c>
      <c r="B7" s="25"/>
      <c r="C7" s="3"/>
      <c r="D7" s="4">
        <f>IFERROR(COUNTIFS($B$13:$B$81,"TV3",$G$13:$G$81,TRUE)/(COUNTIFS($B$13:$B$81,"TV3",$G$13:$G$81,TRUE)+COUNTIFS($B$13:$B$81,"TV3",$G$13:$G$81,FALSE)),0)</f>
        <v>0</v>
      </c>
      <c r="E7" s="5" t="str">
        <f>COUNTIFS($B$13:$B$81,"TV3",$G$13:$G$81,TRUE)&amp;"/"&amp;(COUNTIFS($B$13:$B$81,"TV3",$G$13:$G$81,TRUE)+COUNTIFS($B$13:$B$81,"TV3",$G$13:$G$81,FALSE))</f>
        <v>0/17</v>
      </c>
      <c r="F7" s="30" t="str">
        <f>IF(IFERROR(INDEX($C$13:$C$81,MATCH("TV3#1",$J$13:$J$81,0))&amp;" "&amp;INDEX($D$13:$D$81,MATCH("TV3#1",$J$13:$J$81,0)),"")="","Đã xong hết",IFERROR(INDEX($C$13:$C$81,MATCH("TV3#1",$J$13:$J$81,0))&amp;" "&amp;INDEX($D$13:$D$81,MATCH("TV3#1",$J$13:$J$81,0)),"")&amp;IF(IFERROR(INDEX($C$13:$C$81,MATCH("TV3#2",$J$13:$J$81,0)),"")="",""," →  "&amp;IFERROR(INDEX($C$13:$C$81,MATCH("TV3#2",$J$13:$J$81,0)),"")))</f>
        <v>C0 Chuẩn bị máy: cài công cụ, clone repo, chạy CSDL, backend, frontend →  B0</v>
      </c>
      <c r="G7" s="25"/>
      <c r="H7" s="25"/>
      <c r="I7" s="25"/>
      <c r="K7" t="s">
        <v>222</v>
      </c>
    </row>
    <row r="8" spans="1:11" x14ac:dyDescent="0.3">
      <c r="A8" s="27" t="s">
        <v>10</v>
      </c>
      <c r="B8" s="25"/>
      <c r="C8" s="3"/>
      <c r="D8" s="4">
        <f>IFERROR(COUNTIFS($B$13:$B$81,"TV4",$G$13:$G$81,TRUE)/(COUNTIFS($B$13:$B$81,"TV4",$G$13:$G$81,TRUE)+COUNTIFS($B$13:$B$81,"TV4",$G$13:$G$81,FALSE)),0)</f>
        <v>0</v>
      </c>
      <c r="E8" s="5" t="str">
        <f>COUNTIFS($B$13:$B$81,"TV4",$G$13:$G$81,TRUE)&amp;"/"&amp;(COUNTIFS($B$13:$B$81,"TV4",$G$13:$G$81,TRUE)+COUNTIFS($B$13:$B$81,"TV4",$G$13:$G$81,FALSE))</f>
        <v>0/15</v>
      </c>
      <c r="F8" s="27" t="str">
        <f>IF(IFERROR(INDEX($C$13:$C$81,MATCH("TV4#1",$J$13:$J$81,0))&amp;" "&amp;INDEX($D$13:$D$81,MATCH("TV4#1",$J$13:$J$81,0)),"")="","Đã xong hết",IFERROR(INDEX($C$13:$C$81,MATCH("TV4#1",$J$13:$J$81,0))&amp;" "&amp;INDEX($D$13:$D$81,MATCH("TV4#1",$J$13:$J$81,0)),"")&amp;IF(IFERROR(INDEX($C$13:$C$81,MATCH("TV4#2",$J$13:$J$81,0)),"")="",""," →  "&amp;IFERROR(INDEX($C$13:$C$81,MATCH("TV4#2",$J$13:$J$81,0)),"")))</f>
        <v>C0 Chuẩn bị máy: cài công cụ, clone repo, chạy CSDL, backend, frontend →  O0</v>
      </c>
      <c r="G8" s="25"/>
      <c r="H8" s="25"/>
      <c r="I8" s="25"/>
      <c r="K8" t="s">
        <v>221</v>
      </c>
    </row>
    <row r="9" spans="1:11" x14ac:dyDescent="0.3">
      <c r="A9" s="24" t="s">
        <v>11</v>
      </c>
      <c r="B9" s="25"/>
      <c r="C9" s="6"/>
      <c r="D9" s="4">
        <f>IFERROR(COUNTIFS($B$13:$B$81,"Cả nhóm",$G$13:$G$81,TRUE)/(COUNTIFS($B$13:$B$81,"Cả nhóm",$G$13:$G$81,TRUE)+COUNTIFS($B$13:$B$81,"Cả nhóm",$G$13:$G$81,FALSE)),0)</f>
        <v>0</v>
      </c>
      <c r="E9" s="5" t="str">
        <f>COUNTIFS($B$13:$B$81,"Cả nhóm",$G$13:$G$81,TRUE)&amp;"/"&amp;(COUNTIFS($B$13:$B$81,"Cả nhóm",$G$13:$G$81,TRUE)+COUNTIFS($B$13:$B$81,"Cả nhóm",$G$13:$G$81,FALSE))</f>
        <v>0/6</v>
      </c>
      <c r="F9" s="24" t="str">
        <f>IF(IFERROR(INDEX($C$13:$C$81,MATCH("Cả nhóm#1",$J$13:$J$81,0))&amp;" "&amp;INDEX($D$13:$D$81,MATCH("Cả nhóm#1",$J$13:$J$81,0)),"")="","Đã xong hết",IFERROR(INDEX($C$13:$C$81,MATCH("Cả nhóm#1",$J$13:$J$81,0))&amp;" "&amp;INDEX($D$13:$D$81,MATCH("Cả nhóm#1",$J$13:$J$81,0)),"")&amp;IF(IFERROR(INDEX($C$13:$C$81,MATCH("Cả nhóm#2",$J$13:$J$81,0)),"")="",""," →  "&amp;IFERROR(INDEX($C$13:$C$81,MATCH("Cả nhóm#2",$J$13:$J$81,0)),"")))</f>
        <v>G0 Cổng G0: backend, frontend, CSDL chạy trên máy mọi người; CI xanh →  G1</v>
      </c>
      <c r="G9" s="25"/>
      <c r="H9" s="25"/>
      <c r="I9" s="25"/>
    </row>
    <row r="10" spans="1:11" x14ac:dyDescent="0.3">
      <c r="A10" s="21" t="s">
        <v>12</v>
      </c>
      <c r="B10" s="22"/>
      <c r="C10" s="22"/>
      <c r="D10" s="22"/>
      <c r="E10" s="22"/>
      <c r="F10" s="22"/>
      <c r="G10" s="22"/>
      <c r="H10" s="22"/>
      <c r="I10" s="22"/>
    </row>
    <row r="11" spans="1:11" ht="15.6" x14ac:dyDescent="0.3">
      <c r="A11" s="7" t="s">
        <v>13</v>
      </c>
    </row>
    <row r="12" spans="1:11" ht="27.6" x14ac:dyDescent="0.3">
      <c r="A12" s="8" t="s">
        <v>14</v>
      </c>
      <c r="B12" s="8" t="s">
        <v>2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5</v>
      </c>
      <c r="H12" s="8" t="s">
        <v>19</v>
      </c>
      <c r="I12" s="8" t="s">
        <v>20</v>
      </c>
      <c r="J12" s="8" t="s">
        <v>21</v>
      </c>
    </row>
    <row r="13" spans="1:11" ht="26.4" x14ac:dyDescent="0.3">
      <c r="A13" s="9">
        <v>1</v>
      </c>
      <c r="B13" s="10" t="s">
        <v>7</v>
      </c>
      <c r="C13" s="9" t="s">
        <v>22</v>
      </c>
      <c r="D13" s="11" t="s">
        <v>23</v>
      </c>
      <c r="E13" s="11" t="s">
        <v>24</v>
      </c>
      <c r="F13" s="11" t="s">
        <v>25</v>
      </c>
      <c r="G13" s="12" t="b">
        <v>1</v>
      </c>
      <c r="H13" s="13"/>
      <c r="I13" s="14"/>
      <c r="J13" s="15" t="str">
        <f>IF(G13=TRUE,"",B13&amp;"#"&amp;COUNTIFS($B$13:B13,B13,$G$13:G13,FALSE))</f>
        <v/>
      </c>
    </row>
    <row r="14" spans="1:11" ht="26.4" x14ac:dyDescent="0.3">
      <c r="A14" s="9">
        <v>1</v>
      </c>
      <c r="B14" s="10" t="s">
        <v>7</v>
      </c>
      <c r="C14" s="9" t="s">
        <v>26</v>
      </c>
      <c r="D14" s="11" t="s">
        <v>27</v>
      </c>
      <c r="E14" s="11" t="s">
        <v>24</v>
      </c>
      <c r="F14" s="11" t="s">
        <v>28</v>
      </c>
      <c r="G14" s="12" t="b">
        <v>1</v>
      </c>
      <c r="H14" s="13"/>
      <c r="I14" s="14"/>
      <c r="J14" s="15" t="str">
        <f>IF(G14=TRUE,"",B14&amp;"#"&amp;COUNTIFS($B$13:B14,B14,$G$13:G14,FALSE))</f>
        <v/>
      </c>
    </row>
    <row r="15" spans="1:11" ht="26.4" x14ac:dyDescent="0.3">
      <c r="A15" s="9">
        <v>1</v>
      </c>
      <c r="B15" s="10" t="s">
        <v>7</v>
      </c>
      <c r="C15" s="9" t="s">
        <v>29</v>
      </c>
      <c r="D15" s="11" t="s">
        <v>30</v>
      </c>
      <c r="E15" s="11" t="s">
        <v>26</v>
      </c>
      <c r="F15" s="11" t="s">
        <v>31</v>
      </c>
      <c r="G15" s="12" t="b">
        <v>1</v>
      </c>
      <c r="H15" s="13"/>
      <c r="I15" s="14"/>
      <c r="J15" s="15" t="str">
        <f>IF(G15=TRUE,"",B15&amp;"#"&amp;COUNTIFS($B$13:B15,B15,$G$13:G15,FALSE))</f>
        <v/>
      </c>
    </row>
    <row r="16" spans="1:11" ht="26.4" x14ac:dyDescent="0.3">
      <c r="A16" s="9">
        <v>1</v>
      </c>
      <c r="B16" s="10" t="s">
        <v>7</v>
      </c>
      <c r="C16" s="9" t="s">
        <v>32</v>
      </c>
      <c r="D16" s="11" t="s">
        <v>33</v>
      </c>
      <c r="E16" s="11" t="s">
        <v>26</v>
      </c>
      <c r="F16" s="11" t="s">
        <v>34</v>
      </c>
      <c r="G16" s="12" t="b">
        <v>1</v>
      </c>
      <c r="H16" s="13"/>
      <c r="I16" s="14"/>
      <c r="J16" s="15" t="str">
        <f>IF(G16=TRUE,"",B16&amp;"#"&amp;COUNTIFS($B$13:B16,B16,$G$13:G16,FALSE))</f>
        <v/>
      </c>
    </row>
    <row r="17" spans="1:10" ht="26.4" x14ac:dyDescent="0.3">
      <c r="A17" s="9">
        <v>1</v>
      </c>
      <c r="B17" s="10" t="s">
        <v>7</v>
      </c>
      <c r="C17" s="9" t="s">
        <v>35</v>
      </c>
      <c r="D17" s="11" t="s">
        <v>36</v>
      </c>
      <c r="E17" s="11" t="s">
        <v>29</v>
      </c>
      <c r="F17" s="11" t="s">
        <v>37</v>
      </c>
      <c r="G17" s="12" t="b">
        <v>1</v>
      </c>
      <c r="H17" s="13"/>
      <c r="I17" s="14"/>
      <c r="J17" s="15" t="str">
        <f>IF(G17=TRUE,"",B17&amp;"#"&amp;COUNTIFS($B$13:B17,B17,$G$13:G17,FALSE))</f>
        <v/>
      </c>
    </row>
    <row r="18" spans="1:10" ht="39.6" x14ac:dyDescent="0.3">
      <c r="A18" s="9">
        <v>1</v>
      </c>
      <c r="B18" s="10" t="s">
        <v>7</v>
      </c>
      <c r="C18" s="9" t="s">
        <v>38</v>
      </c>
      <c r="D18" s="11" t="s">
        <v>39</v>
      </c>
      <c r="E18" s="11" t="s">
        <v>35</v>
      </c>
      <c r="F18" s="11" t="s">
        <v>40</v>
      </c>
      <c r="G18" s="12" t="b">
        <v>1</v>
      </c>
      <c r="H18" s="13"/>
      <c r="I18" s="14"/>
      <c r="J18" s="15" t="str">
        <f>IF(G18=TRUE,"",B18&amp;"#"&amp;COUNTIFS($B$13:B18,B18,$G$13:G18,FALSE))</f>
        <v/>
      </c>
    </row>
    <row r="19" spans="1:10" ht="26.4" x14ac:dyDescent="0.3">
      <c r="A19" s="9">
        <v>1</v>
      </c>
      <c r="B19" s="10" t="s">
        <v>7</v>
      </c>
      <c r="C19" s="9" t="s">
        <v>41</v>
      </c>
      <c r="D19" s="11" t="s">
        <v>42</v>
      </c>
      <c r="E19" s="11" t="s">
        <v>35</v>
      </c>
      <c r="F19" s="11" t="s">
        <v>43</v>
      </c>
      <c r="G19" s="12" t="b">
        <v>0</v>
      </c>
      <c r="H19" s="13"/>
      <c r="I19" s="14"/>
      <c r="J19" s="15" t="str">
        <f>IF(G19=TRUE,"",B19&amp;"#"&amp;COUNTIFS($B$13:B19,B19,$G$13:G19,FALSE))</f>
        <v>TV1#1</v>
      </c>
    </row>
    <row r="20" spans="1:10" ht="26.4" x14ac:dyDescent="0.3">
      <c r="A20" s="9">
        <v>1</v>
      </c>
      <c r="B20" s="10" t="s">
        <v>7</v>
      </c>
      <c r="C20" s="9" t="s">
        <v>44</v>
      </c>
      <c r="D20" s="11" t="s">
        <v>45</v>
      </c>
      <c r="E20" s="11" t="s">
        <v>29</v>
      </c>
      <c r="F20" s="11" t="s">
        <v>46</v>
      </c>
      <c r="G20" s="12" t="b">
        <v>0</v>
      </c>
      <c r="H20" s="13"/>
      <c r="I20" s="14"/>
      <c r="J20" s="15" t="str">
        <f>IF(G20=TRUE,"",B20&amp;"#"&amp;COUNTIFS($B$13:B20,B20,$G$13:G20,FALSE))</f>
        <v>TV1#2</v>
      </c>
    </row>
    <row r="21" spans="1:10" x14ac:dyDescent="0.3">
      <c r="A21" s="9">
        <v>1</v>
      </c>
      <c r="B21" s="10" t="s">
        <v>7</v>
      </c>
      <c r="C21" s="9" t="s">
        <v>47</v>
      </c>
      <c r="D21" s="11" t="s">
        <v>48</v>
      </c>
      <c r="E21" s="11" t="s">
        <v>38</v>
      </c>
      <c r="F21" s="11" t="s">
        <v>49</v>
      </c>
      <c r="G21" s="12" t="b">
        <v>0</v>
      </c>
      <c r="H21" s="13"/>
      <c r="I21" s="14"/>
      <c r="J21" s="15" t="str">
        <f>IF(G21=TRUE,"",B21&amp;"#"&amp;COUNTIFS($B$13:B21,B21,$G$13:G21,FALSE))</f>
        <v>TV1#3</v>
      </c>
    </row>
    <row r="22" spans="1:10" ht="26.4" x14ac:dyDescent="0.3">
      <c r="A22" s="9">
        <v>1</v>
      </c>
      <c r="B22" s="16" t="s">
        <v>8</v>
      </c>
      <c r="C22" s="9" t="s">
        <v>22</v>
      </c>
      <c r="D22" s="11" t="s">
        <v>23</v>
      </c>
      <c r="E22" s="11" t="s">
        <v>24</v>
      </c>
      <c r="F22" s="11" t="s">
        <v>25</v>
      </c>
      <c r="G22" s="12" t="b">
        <v>0</v>
      </c>
      <c r="H22" s="13"/>
      <c r="I22" s="14"/>
      <c r="J22" s="15" t="str">
        <f>IF(G22=TRUE,"",B22&amp;"#"&amp;COUNTIFS($B$13:B22,B22,$G$13:G22,FALSE))</f>
        <v>TV2#1</v>
      </c>
    </row>
    <row r="23" spans="1:10" ht="26.4" x14ac:dyDescent="0.3">
      <c r="A23" s="9">
        <v>1</v>
      </c>
      <c r="B23" s="16" t="s">
        <v>8</v>
      </c>
      <c r="C23" s="9" t="s">
        <v>50</v>
      </c>
      <c r="D23" s="11" t="s">
        <v>51</v>
      </c>
      <c r="E23" s="11" t="s">
        <v>24</v>
      </c>
      <c r="F23" s="11" t="s">
        <v>52</v>
      </c>
      <c r="G23" s="12" t="b">
        <v>0</v>
      </c>
      <c r="H23" s="13"/>
      <c r="I23" s="14"/>
      <c r="J23" s="15" t="str">
        <f>IF(G23=TRUE,"",B23&amp;"#"&amp;COUNTIFS($B$13:B23,B23,$G$13:G23,FALSE))</f>
        <v>TV2#2</v>
      </c>
    </row>
    <row r="24" spans="1:10" x14ac:dyDescent="0.3">
      <c r="A24" s="9">
        <v>1</v>
      </c>
      <c r="B24" s="16" t="s">
        <v>8</v>
      </c>
      <c r="C24" s="9" t="s">
        <v>53</v>
      </c>
      <c r="D24" s="11" t="s">
        <v>48</v>
      </c>
      <c r="E24" s="11" t="s">
        <v>38</v>
      </c>
      <c r="F24" s="11" t="s">
        <v>54</v>
      </c>
      <c r="G24" s="12" t="b">
        <v>0</v>
      </c>
      <c r="H24" s="13"/>
      <c r="I24" s="14"/>
      <c r="J24" s="15" t="str">
        <f>IF(G24=TRUE,"",B24&amp;"#"&amp;COUNTIFS($B$13:B24,B24,$G$13:G24,FALSE))</f>
        <v>TV2#3</v>
      </c>
    </row>
    <row r="25" spans="1:10" ht="26.4" x14ac:dyDescent="0.3">
      <c r="A25" s="9">
        <v>1</v>
      </c>
      <c r="B25" s="17" t="s">
        <v>9</v>
      </c>
      <c r="C25" s="9" t="s">
        <v>22</v>
      </c>
      <c r="D25" s="11" t="s">
        <v>23</v>
      </c>
      <c r="E25" s="11" t="s">
        <v>24</v>
      </c>
      <c r="F25" s="11" t="s">
        <v>25</v>
      </c>
      <c r="G25" s="12" t="b">
        <v>0</v>
      </c>
      <c r="H25" s="13"/>
      <c r="I25" s="14"/>
      <c r="J25" s="15" t="str">
        <f>IF(G25=TRUE,"",B25&amp;"#"&amp;COUNTIFS($B$13:B25,B25,$G$13:G25,FALSE))</f>
        <v>TV3#1</v>
      </c>
    </row>
    <row r="26" spans="1:10" ht="26.4" x14ac:dyDescent="0.3">
      <c r="A26" s="9">
        <v>1</v>
      </c>
      <c r="B26" s="17" t="s">
        <v>9</v>
      </c>
      <c r="C26" s="9" t="s">
        <v>55</v>
      </c>
      <c r="D26" s="11" t="s">
        <v>56</v>
      </c>
      <c r="E26" s="11" t="s">
        <v>24</v>
      </c>
      <c r="F26" s="11" t="s">
        <v>57</v>
      </c>
      <c r="G26" s="12" t="b">
        <v>0</v>
      </c>
      <c r="H26" s="13"/>
      <c r="I26" s="14"/>
      <c r="J26" s="15" t="str">
        <f>IF(G26=TRUE,"",B26&amp;"#"&amp;COUNTIFS($B$13:B26,B26,$G$13:G26,FALSE))</f>
        <v>TV3#2</v>
      </c>
    </row>
    <row r="27" spans="1:10" ht="26.4" x14ac:dyDescent="0.3">
      <c r="A27" s="9">
        <v>1</v>
      </c>
      <c r="B27" s="17" t="s">
        <v>9</v>
      </c>
      <c r="C27" s="9" t="s">
        <v>58</v>
      </c>
      <c r="D27" s="11" t="s">
        <v>59</v>
      </c>
      <c r="E27" s="11" t="s">
        <v>32</v>
      </c>
      <c r="F27" s="11" t="s">
        <v>60</v>
      </c>
      <c r="G27" s="12" t="b">
        <v>0</v>
      </c>
      <c r="H27" s="13"/>
      <c r="I27" s="14"/>
      <c r="J27" s="15" t="str">
        <f>IF(G27=TRUE,"",B27&amp;"#"&amp;COUNTIFS($B$13:B27,B27,$G$13:G27,FALSE))</f>
        <v>TV3#3</v>
      </c>
    </row>
    <row r="28" spans="1:10" x14ac:dyDescent="0.3">
      <c r="A28" s="9">
        <v>1</v>
      </c>
      <c r="B28" s="17" t="s">
        <v>9</v>
      </c>
      <c r="C28" s="9" t="s">
        <v>61</v>
      </c>
      <c r="D28" s="11" t="s">
        <v>48</v>
      </c>
      <c r="E28" s="11" t="s">
        <v>38</v>
      </c>
      <c r="F28" s="11" t="s">
        <v>54</v>
      </c>
      <c r="G28" s="12" t="b">
        <v>0</v>
      </c>
      <c r="H28" s="13"/>
      <c r="I28" s="14"/>
      <c r="J28" s="15" t="str">
        <f>IF(G28=TRUE,"",B28&amp;"#"&amp;COUNTIFS($B$13:B28,B28,$G$13:G28,FALSE))</f>
        <v>TV3#4</v>
      </c>
    </row>
    <row r="29" spans="1:10" ht="26.4" x14ac:dyDescent="0.3">
      <c r="A29" s="9">
        <v>1</v>
      </c>
      <c r="B29" s="18" t="s">
        <v>10</v>
      </c>
      <c r="C29" s="9" t="s">
        <v>22</v>
      </c>
      <c r="D29" s="11" t="s">
        <v>23</v>
      </c>
      <c r="E29" s="11" t="s">
        <v>24</v>
      </c>
      <c r="F29" s="11" t="s">
        <v>25</v>
      </c>
      <c r="G29" s="12" t="b">
        <v>0</v>
      </c>
      <c r="H29" s="13"/>
      <c r="I29" s="14"/>
      <c r="J29" s="15" t="str">
        <f>IF(G29=TRUE,"",B29&amp;"#"&amp;COUNTIFS($B$13:B29,B29,$G$13:G29,FALSE))</f>
        <v>TV4#1</v>
      </c>
    </row>
    <row r="30" spans="1:10" ht="26.4" x14ac:dyDescent="0.3">
      <c r="A30" s="9">
        <v>1</v>
      </c>
      <c r="B30" s="18" t="s">
        <v>10</v>
      </c>
      <c r="C30" s="9" t="s">
        <v>62</v>
      </c>
      <c r="D30" s="11" t="s">
        <v>63</v>
      </c>
      <c r="E30" s="11" t="s">
        <v>24</v>
      </c>
      <c r="F30" s="11" t="s">
        <v>64</v>
      </c>
      <c r="G30" s="12" t="b">
        <v>0</v>
      </c>
      <c r="H30" s="13"/>
      <c r="I30" s="14"/>
      <c r="J30" s="15" t="str">
        <f>IF(G30=TRUE,"",B30&amp;"#"&amp;COUNTIFS($B$13:B30,B30,$G$13:G30,FALSE))</f>
        <v>TV4#2</v>
      </c>
    </row>
    <row r="31" spans="1:10" x14ac:dyDescent="0.3">
      <c r="A31" s="9">
        <v>1</v>
      </c>
      <c r="B31" s="18" t="s">
        <v>10</v>
      </c>
      <c r="C31" s="9" t="s">
        <v>65</v>
      </c>
      <c r="D31" s="11" t="s">
        <v>48</v>
      </c>
      <c r="E31" s="11" t="s">
        <v>38</v>
      </c>
      <c r="F31" s="11" t="s">
        <v>54</v>
      </c>
      <c r="G31" s="12" t="b">
        <v>0</v>
      </c>
      <c r="H31" s="13"/>
      <c r="I31" s="14"/>
      <c r="J31" s="15" t="str">
        <f>IF(G31=TRUE,"",B31&amp;"#"&amp;COUNTIFS($B$13:B31,B31,$G$13:G31,FALSE))</f>
        <v>TV4#3</v>
      </c>
    </row>
    <row r="32" spans="1:10" ht="26.4" x14ac:dyDescent="0.3">
      <c r="A32" s="9">
        <v>1</v>
      </c>
      <c r="B32" s="19" t="s">
        <v>11</v>
      </c>
      <c r="C32" s="9" t="s">
        <v>66</v>
      </c>
      <c r="D32" s="20" t="s">
        <v>67</v>
      </c>
      <c r="E32" s="11" t="s">
        <v>24</v>
      </c>
      <c r="F32" s="11" t="s">
        <v>68</v>
      </c>
      <c r="G32" s="12" t="b">
        <v>0</v>
      </c>
      <c r="H32" s="13"/>
      <c r="I32" s="14"/>
      <c r="J32" s="15" t="str">
        <f>IF(G32=TRUE,"",B32&amp;"#"&amp;COUNTIFS($B$13:B32,B32,$G$13:G32,FALSE))</f>
        <v>Cả nhóm#1</v>
      </c>
    </row>
    <row r="33" spans="1:10" ht="26.4" x14ac:dyDescent="0.3">
      <c r="A33" s="9">
        <v>1</v>
      </c>
      <c r="B33" s="19" t="s">
        <v>11</v>
      </c>
      <c r="C33" s="9" t="s">
        <v>69</v>
      </c>
      <c r="D33" s="20" t="s">
        <v>70</v>
      </c>
      <c r="E33" s="11" t="s">
        <v>24</v>
      </c>
      <c r="F33" s="11" t="s">
        <v>68</v>
      </c>
      <c r="G33" s="12" t="b">
        <v>0</v>
      </c>
      <c r="H33" s="13"/>
      <c r="I33" s="14"/>
      <c r="J33" s="15" t="str">
        <f>IF(G33=TRUE,"",B33&amp;"#"&amp;COUNTIFS($B$13:B33,B33,$G$13:G33,FALSE))</f>
        <v>Cả nhóm#2</v>
      </c>
    </row>
    <row r="34" spans="1:10" ht="26.4" x14ac:dyDescent="0.3">
      <c r="A34" s="9">
        <v>2</v>
      </c>
      <c r="B34" s="10" t="s">
        <v>7</v>
      </c>
      <c r="C34" s="9" t="s">
        <v>71</v>
      </c>
      <c r="D34" s="11" t="s">
        <v>72</v>
      </c>
      <c r="E34" s="11" t="s">
        <v>38</v>
      </c>
      <c r="F34" s="11" t="s">
        <v>73</v>
      </c>
      <c r="G34" s="12" t="b">
        <v>0</v>
      </c>
      <c r="H34" s="13"/>
      <c r="I34" s="14"/>
      <c r="J34" s="15" t="str">
        <f>IF(G34=TRUE,"",B34&amp;"#"&amp;COUNTIFS($B$13:B34,B34,$G$13:G34,FALSE))</f>
        <v>TV1#4</v>
      </c>
    </row>
    <row r="35" spans="1:10" ht="26.4" x14ac:dyDescent="0.3">
      <c r="A35" s="9">
        <v>2</v>
      </c>
      <c r="B35" s="10" t="s">
        <v>7</v>
      </c>
      <c r="C35" s="9" t="s">
        <v>74</v>
      </c>
      <c r="D35" s="11" t="s">
        <v>75</v>
      </c>
      <c r="E35" s="11" t="s">
        <v>71</v>
      </c>
      <c r="F35" s="11" t="s">
        <v>76</v>
      </c>
      <c r="G35" s="12" t="b">
        <v>0</v>
      </c>
      <c r="H35" s="13"/>
      <c r="I35" s="14"/>
      <c r="J35" s="15" t="str">
        <f>IF(G35=TRUE,"",B35&amp;"#"&amp;COUNTIFS($B$13:B35,B35,$G$13:G35,FALSE))</f>
        <v>TV1#5</v>
      </c>
    </row>
    <row r="36" spans="1:10" ht="26.4" x14ac:dyDescent="0.3">
      <c r="A36" s="9">
        <v>2</v>
      </c>
      <c r="B36" s="16" t="s">
        <v>8</v>
      </c>
      <c r="C36" s="9" t="s">
        <v>77</v>
      </c>
      <c r="D36" s="11" t="s">
        <v>78</v>
      </c>
      <c r="E36" s="11" t="s">
        <v>79</v>
      </c>
      <c r="F36" s="11" t="s">
        <v>80</v>
      </c>
      <c r="G36" s="12" t="b">
        <v>0</v>
      </c>
      <c r="H36" s="13"/>
      <c r="I36" s="14"/>
      <c r="J36" s="15" t="str">
        <f>IF(G36=TRUE,"",B36&amp;"#"&amp;COUNTIFS($B$13:B36,B36,$G$13:G36,FALSE))</f>
        <v>TV2#4</v>
      </c>
    </row>
    <row r="37" spans="1:10" ht="26.4" x14ac:dyDescent="0.3">
      <c r="A37" s="9">
        <v>2</v>
      </c>
      <c r="B37" s="16" t="s">
        <v>8</v>
      </c>
      <c r="C37" s="9" t="s">
        <v>81</v>
      </c>
      <c r="D37" s="11" t="s">
        <v>82</v>
      </c>
      <c r="E37" s="11" t="s">
        <v>77</v>
      </c>
      <c r="F37" s="11" t="s">
        <v>83</v>
      </c>
      <c r="G37" s="12" t="b">
        <v>0</v>
      </c>
      <c r="H37" s="13"/>
      <c r="I37" s="14"/>
      <c r="J37" s="15" t="str">
        <f>IF(G37=TRUE,"",B37&amp;"#"&amp;COUNTIFS($B$13:B37,B37,$G$13:G37,FALSE))</f>
        <v>TV2#5</v>
      </c>
    </row>
    <row r="38" spans="1:10" ht="26.4" x14ac:dyDescent="0.3">
      <c r="A38" s="9">
        <v>2</v>
      </c>
      <c r="B38" s="17" t="s">
        <v>9</v>
      </c>
      <c r="C38" s="9" t="s">
        <v>84</v>
      </c>
      <c r="D38" s="11" t="s">
        <v>85</v>
      </c>
      <c r="E38" s="11" t="s">
        <v>35</v>
      </c>
      <c r="F38" s="11" t="s">
        <v>86</v>
      </c>
      <c r="G38" s="12" t="b">
        <v>0</v>
      </c>
      <c r="H38" s="13"/>
      <c r="I38" s="14"/>
      <c r="J38" s="15" t="str">
        <f>IF(G38=TRUE,"",B38&amp;"#"&amp;COUNTIFS($B$13:B38,B38,$G$13:G38,FALSE))</f>
        <v>TV3#5</v>
      </c>
    </row>
    <row r="39" spans="1:10" x14ac:dyDescent="0.3">
      <c r="A39" s="9">
        <v>2</v>
      </c>
      <c r="B39" s="17" t="s">
        <v>9</v>
      </c>
      <c r="C39" s="9" t="s">
        <v>87</v>
      </c>
      <c r="D39" s="11" t="s">
        <v>88</v>
      </c>
      <c r="E39" s="11" t="s">
        <v>89</v>
      </c>
      <c r="F39" s="11" t="s">
        <v>90</v>
      </c>
      <c r="G39" s="12" t="b">
        <v>0</v>
      </c>
      <c r="H39" s="13"/>
      <c r="I39" s="14"/>
      <c r="J39" s="15" t="str">
        <f>IF(G39=TRUE,"",B39&amp;"#"&amp;COUNTIFS($B$13:B39,B39,$G$13:G39,FALSE))</f>
        <v>TV3#6</v>
      </c>
    </row>
    <row r="40" spans="1:10" x14ac:dyDescent="0.3">
      <c r="A40" s="9">
        <v>2</v>
      </c>
      <c r="B40" s="18" t="s">
        <v>10</v>
      </c>
      <c r="C40" s="9" t="s">
        <v>91</v>
      </c>
      <c r="D40" s="11" t="s">
        <v>92</v>
      </c>
      <c r="E40" s="11" t="s">
        <v>35</v>
      </c>
      <c r="F40" s="11" t="s">
        <v>93</v>
      </c>
      <c r="G40" s="12" t="b">
        <v>0</v>
      </c>
      <c r="H40" s="13"/>
      <c r="I40" s="14"/>
      <c r="J40" s="15" t="str">
        <f>IF(G40=TRUE,"",B40&amp;"#"&amp;COUNTIFS($B$13:B40,B40,$G$13:G40,FALSE))</f>
        <v>TV4#4</v>
      </c>
    </row>
    <row r="41" spans="1:10" ht="26.4" x14ac:dyDescent="0.3">
      <c r="A41" s="9">
        <v>2</v>
      </c>
      <c r="B41" s="18" t="s">
        <v>10</v>
      </c>
      <c r="C41" s="9" t="s">
        <v>94</v>
      </c>
      <c r="D41" s="11" t="s">
        <v>95</v>
      </c>
      <c r="E41" s="11" t="s">
        <v>96</v>
      </c>
      <c r="F41" s="11" t="s">
        <v>97</v>
      </c>
      <c r="G41" s="12" t="b">
        <v>0</v>
      </c>
      <c r="H41" s="13"/>
      <c r="I41" s="14"/>
      <c r="J41" s="15" t="str">
        <f>IF(G41=TRUE,"",B41&amp;"#"&amp;COUNTIFS($B$13:B41,B41,$G$13:G41,FALSE))</f>
        <v>TV4#5</v>
      </c>
    </row>
    <row r="42" spans="1:10" x14ac:dyDescent="0.3">
      <c r="A42" s="9">
        <v>2</v>
      </c>
      <c r="B42" s="18" t="s">
        <v>10</v>
      </c>
      <c r="C42" s="9" t="s">
        <v>98</v>
      </c>
      <c r="D42" s="11" t="s">
        <v>99</v>
      </c>
      <c r="E42" s="11" t="s">
        <v>94</v>
      </c>
      <c r="F42" s="11" t="s">
        <v>100</v>
      </c>
      <c r="G42" s="12" t="b">
        <v>0</v>
      </c>
      <c r="H42" s="13"/>
      <c r="I42" s="14"/>
      <c r="J42" s="15" t="str">
        <f>IF(G42=TRUE,"",B42&amp;"#"&amp;COUNTIFS($B$13:B42,B42,$G$13:G42,FALSE))</f>
        <v>TV4#6</v>
      </c>
    </row>
    <row r="43" spans="1:10" ht="26.4" x14ac:dyDescent="0.3">
      <c r="A43" s="9">
        <v>3</v>
      </c>
      <c r="B43" s="10" t="s">
        <v>7</v>
      </c>
      <c r="C43" s="9" t="s">
        <v>101</v>
      </c>
      <c r="D43" s="11" t="s">
        <v>102</v>
      </c>
      <c r="E43" s="11" t="s">
        <v>103</v>
      </c>
      <c r="F43" s="11" t="s">
        <v>104</v>
      </c>
      <c r="G43" s="12" t="b">
        <v>0</v>
      </c>
      <c r="H43" s="13"/>
      <c r="I43" s="14"/>
      <c r="J43" s="15" t="str">
        <f>IF(G43=TRUE,"",B43&amp;"#"&amp;COUNTIFS($B$13:B43,B43,$G$13:G43,FALSE))</f>
        <v>TV1#6</v>
      </c>
    </row>
    <row r="44" spans="1:10" ht="26.4" x14ac:dyDescent="0.3">
      <c r="A44" s="9">
        <v>3</v>
      </c>
      <c r="B44" s="16" t="s">
        <v>8</v>
      </c>
      <c r="C44" s="9" t="s">
        <v>105</v>
      </c>
      <c r="D44" s="11" t="s">
        <v>106</v>
      </c>
      <c r="E44" s="11" t="s">
        <v>103</v>
      </c>
      <c r="F44" s="11" t="s">
        <v>107</v>
      </c>
      <c r="G44" s="12" t="b">
        <v>0</v>
      </c>
      <c r="H44" s="13"/>
      <c r="I44" s="14"/>
      <c r="J44" s="15" t="str">
        <f>IF(G44=TRUE,"",B44&amp;"#"&amp;COUNTIFS($B$13:B44,B44,$G$13:G44,FALSE))</f>
        <v>TV2#6</v>
      </c>
    </row>
    <row r="45" spans="1:10" x14ac:dyDescent="0.3">
      <c r="A45" s="9">
        <v>3</v>
      </c>
      <c r="B45" s="16" t="s">
        <v>8</v>
      </c>
      <c r="C45" s="9" t="s">
        <v>108</v>
      </c>
      <c r="D45" s="11" t="s">
        <v>109</v>
      </c>
      <c r="E45" s="11" t="s">
        <v>41</v>
      </c>
      <c r="F45" s="11" t="s">
        <v>110</v>
      </c>
      <c r="G45" s="12" t="b">
        <v>0</v>
      </c>
      <c r="H45" s="13"/>
      <c r="I45" s="14"/>
      <c r="J45" s="15" t="str">
        <f>IF(G45=TRUE,"",B45&amp;"#"&amp;COUNTIFS($B$13:B45,B45,$G$13:G45,FALSE))</f>
        <v>TV2#7</v>
      </c>
    </row>
    <row r="46" spans="1:10" x14ac:dyDescent="0.3">
      <c r="A46" s="9">
        <v>3</v>
      </c>
      <c r="B46" s="17" t="s">
        <v>9</v>
      </c>
      <c r="C46" s="9" t="s">
        <v>111</v>
      </c>
      <c r="D46" s="11" t="s">
        <v>112</v>
      </c>
      <c r="E46" s="11" t="s">
        <v>84</v>
      </c>
      <c r="F46" s="11" t="s">
        <v>113</v>
      </c>
      <c r="G46" s="12" t="b">
        <v>0</v>
      </c>
      <c r="H46" s="13"/>
      <c r="I46" s="14"/>
      <c r="J46" s="15" t="str">
        <f>IF(G46=TRUE,"",B46&amp;"#"&amp;COUNTIFS($B$13:B46,B46,$G$13:G46,FALSE))</f>
        <v>TV3#7</v>
      </c>
    </row>
    <row r="47" spans="1:10" ht="26.4" x14ac:dyDescent="0.3">
      <c r="A47" s="9">
        <v>3</v>
      </c>
      <c r="B47" s="17" t="s">
        <v>9</v>
      </c>
      <c r="C47" s="9" t="s">
        <v>114</v>
      </c>
      <c r="D47" s="11" t="s">
        <v>115</v>
      </c>
      <c r="E47" s="11" t="s">
        <v>111</v>
      </c>
      <c r="F47" s="11" t="s">
        <v>116</v>
      </c>
      <c r="G47" s="12" t="b">
        <v>0</v>
      </c>
      <c r="H47" s="13"/>
      <c r="I47" s="14"/>
      <c r="J47" s="15" t="str">
        <f>IF(G47=TRUE,"",B47&amp;"#"&amp;COUNTIFS($B$13:B47,B47,$G$13:G47,FALSE))</f>
        <v>TV3#8</v>
      </c>
    </row>
    <row r="48" spans="1:10" ht="26.4" x14ac:dyDescent="0.3">
      <c r="A48" s="9">
        <v>3</v>
      </c>
      <c r="B48" s="17" t="s">
        <v>9</v>
      </c>
      <c r="C48" s="9" t="s">
        <v>117</v>
      </c>
      <c r="D48" s="11" t="s">
        <v>118</v>
      </c>
      <c r="E48" s="11" t="s">
        <v>119</v>
      </c>
      <c r="F48" s="11" t="s">
        <v>120</v>
      </c>
      <c r="G48" s="12" t="b">
        <v>0</v>
      </c>
      <c r="H48" s="13"/>
      <c r="I48" s="14"/>
      <c r="J48" s="15" t="str">
        <f>IF(G48=TRUE,"",B48&amp;"#"&amp;COUNTIFS($B$13:B48,B48,$G$13:G48,FALSE))</f>
        <v>TV3#9</v>
      </c>
    </row>
    <row r="49" spans="1:10" ht="26.4" x14ac:dyDescent="0.3">
      <c r="A49" s="9">
        <v>3</v>
      </c>
      <c r="B49" s="18" t="s">
        <v>10</v>
      </c>
      <c r="C49" s="9" t="s">
        <v>121</v>
      </c>
      <c r="D49" s="11" t="s">
        <v>122</v>
      </c>
      <c r="E49" s="11" t="s">
        <v>123</v>
      </c>
      <c r="F49" s="11" t="s">
        <v>124</v>
      </c>
      <c r="G49" s="12" t="b">
        <v>0</v>
      </c>
      <c r="H49" s="13"/>
      <c r="I49" s="14"/>
      <c r="J49" s="15" t="str">
        <f>IF(G49=TRUE,"",B49&amp;"#"&amp;COUNTIFS($B$13:B49,B49,$G$13:G49,FALSE))</f>
        <v>TV4#7</v>
      </c>
    </row>
    <row r="50" spans="1:10" ht="26.4" x14ac:dyDescent="0.3">
      <c r="A50" s="9">
        <v>3</v>
      </c>
      <c r="B50" s="18" t="s">
        <v>10</v>
      </c>
      <c r="C50" s="9" t="s">
        <v>125</v>
      </c>
      <c r="D50" s="11" t="s">
        <v>126</v>
      </c>
      <c r="E50" s="11" t="s">
        <v>127</v>
      </c>
      <c r="F50" s="11" t="s">
        <v>128</v>
      </c>
      <c r="G50" s="12" t="b">
        <v>0</v>
      </c>
      <c r="H50" s="13"/>
      <c r="I50" s="14"/>
      <c r="J50" s="15" t="str">
        <f>IF(G50=TRUE,"",B50&amp;"#"&amp;COUNTIFS($B$13:B50,B50,$G$13:G50,FALSE))</f>
        <v>TV4#8</v>
      </c>
    </row>
    <row r="51" spans="1:10" ht="26.4" x14ac:dyDescent="0.3">
      <c r="A51" s="9">
        <v>3</v>
      </c>
      <c r="B51" s="19" t="s">
        <v>11</v>
      </c>
      <c r="C51" s="9" t="s">
        <v>129</v>
      </c>
      <c r="D51" s="20" t="s">
        <v>130</v>
      </c>
      <c r="E51" s="11" t="s">
        <v>24</v>
      </c>
      <c r="F51" s="11" t="s">
        <v>68</v>
      </c>
      <c r="G51" s="12" t="b">
        <v>0</v>
      </c>
      <c r="H51" s="13"/>
      <c r="I51" s="14"/>
      <c r="J51" s="15" t="str">
        <f>IF(G51=TRUE,"",B51&amp;"#"&amp;COUNTIFS($B$13:B51,B51,$G$13:G51,FALSE))</f>
        <v>Cả nhóm#3</v>
      </c>
    </row>
    <row r="52" spans="1:10" ht="26.4" x14ac:dyDescent="0.3">
      <c r="A52" s="9">
        <v>4</v>
      </c>
      <c r="B52" s="16" t="s">
        <v>8</v>
      </c>
      <c r="C52" s="9" t="s">
        <v>131</v>
      </c>
      <c r="D52" s="11" t="s">
        <v>132</v>
      </c>
      <c r="E52" s="11" t="s">
        <v>108</v>
      </c>
      <c r="F52" s="11" t="s">
        <v>133</v>
      </c>
      <c r="G52" s="12" t="b">
        <v>0</v>
      </c>
      <c r="H52" s="13"/>
      <c r="I52" s="14"/>
      <c r="J52" s="15" t="str">
        <f>IF(G52=TRUE,"",B52&amp;"#"&amp;COUNTIFS($B$13:B52,B52,$G$13:G52,FALSE))</f>
        <v>TV2#8</v>
      </c>
    </row>
    <row r="53" spans="1:10" x14ac:dyDescent="0.3">
      <c r="A53" s="9">
        <v>4</v>
      </c>
      <c r="B53" s="16" t="s">
        <v>8</v>
      </c>
      <c r="C53" s="9" t="s">
        <v>134</v>
      </c>
      <c r="D53" s="11" t="s">
        <v>135</v>
      </c>
      <c r="E53" s="11" t="s">
        <v>41</v>
      </c>
      <c r="F53" s="11" t="s">
        <v>136</v>
      </c>
      <c r="G53" s="12" t="b">
        <v>0</v>
      </c>
      <c r="H53" s="13"/>
      <c r="I53" s="14"/>
      <c r="J53" s="15" t="str">
        <f>IF(G53=TRUE,"",B53&amp;"#"&amp;COUNTIFS($B$13:B53,B53,$G$13:G53,FALSE))</f>
        <v>TV2#9</v>
      </c>
    </row>
    <row r="54" spans="1:10" x14ac:dyDescent="0.3">
      <c r="A54" s="9">
        <v>4</v>
      </c>
      <c r="B54" s="17" t="s">
        <v>9</v>
      </c>
      <c r="C54" s="9" t="s">
        <v>137</v>
      </c>
      <c r="D54" s="11" t="s">
        <v>138</v>
      </c>
      <c r="E54" s="11" t="s">
        <v>111</v>
      </c>
      <c r="F54" s="11" t="s">
        <v>139</v>
      </c>
      <c r="G54" s="12" t="b">
        <v>0</v>
      </c>
      <c r="H54" s="13"/>
      <c r="I54" s="14"/>
      <c r="J54" s="15" t="str">
        <f>IF(G54=TRUE,"",B54&amp;"#"&amp;COUNTIFS($B$13:B54,B54,$G$13:G54,FALSE))</f>
        <v>TV3#10</v>
      </c>
    </row>
    <row r="55" spans="1:10" x14ac:dyDescent="0.3">
      <c r="A55" s="9">
        <v>4</v>
      </c>
      <c r="B55" s="17" t="s">
        <v>9</v>
      </c>
      <c r="C55" s="9" t="s">
        <v>140</v>
      </c>
      <c r="D55" s="11" t="s">
        <v>141</v>
      </c>
      <c r="E55" s="11" t="s">
        <v>142</v>
      </c>
      <c r="F55" s="11" t="s">
        <v>143</v>
      </c>
      <c r="G55" s="12" t="b">
        <v>0</v>
      </c>
      <c r="H55" s="13"/>
      <c r="I55" s="14"/>
      <c r="J55" s="15" t="str">
        <f>IF(G55=TRUE,"",B55&amp;"#"&amp;COUNTIFS($B$13:B55,B55,$G$13:G55,FALSE))</f>
        <v>TV3#11</v>
      </c>
    </row>
    <row r="56" spans="1:10" ht="26.4" x14ac:dyDescent="0.3">
      <c r="A56" s="9">
        <v>4</v>
      </c>
      <c r="B56" s="18" t="s">
        <v>10</v>
      </c>
      <c r="C56" s="9" t="s">
        <v>144</v>
      </c>
      <c r="D56" s="11" t="s">
        <v>145</v>
      </c>
      <c r="E56" s="11" t="s">
        <v>146</v>
      </c>
      <c r="F56" s="11" t="s">
        <v>147</v>
      </c>
      <c r="G56" s="12" t="b">
        <v>0</v>
      </c>
      <c r="H56" s="13"/>
      <c r="I56" s="14"/>
      <c r="J56" s="15" t="str">
        <f>IF(G56=TRUE,"",B56&amp;"#"&amp;COUNTIFS($B$13:B56,B56,$G$13:G56,FALSE))</f>
        <v>TV4#9</v>
      </c>
    </row>
    <row r="57" spans="1:10" x14ac:dyDescent="0.3">
      <c r="A57" s="9">
        <v>4</v>
      </c>
      <c r="B57" s="18" t="s">
        <v>10</v>
      </c>
      <c r="C57" s="9" t="s">
        <v>148</v>
      </c>
      <c r="D57" s="11" t="s">
        <v>149</v>
      </c>
      <c r="E57" s="11" t="s">
        <v>94</v>
      </c>
      <c r="F57" s="11" t="s">
        <v>150</v>
      </c>
      <c r="G57" s="12" t="b">
        <v>0</v>
      </c>
      <c r="H57" s="13"/>
      <c r="I57" s="14"/>
      <c r="J57" s="15" t="str">
        <f>IF(G57=TRUE,"",B57&amp;"#"&amp;COUNTIFS($B$13:B57,B57,$G$13:G57,FALSE))</f>
        <v>TV4#10</v>
      </c>
    </row>
    <row r="58" spans="1:10" ht="26.4" x14ac:dyDescent="0.3">
      <c r="A58" s="9">
        <v>5</v>
      </c>
      <c r="B58" s="10" t="s">
        <v>7</v>
      </c>
      <c r="C58" s="9" t="s">
        <v>151</v>
      </c>
      <c r="D58" s="11" t="s">
        <v>152</v>
      </c>
      <c r="E58" s="11" t="s">
        <v>41</v>
      </c>
      <c r="F58" s="11" t="s">
        <v>153</v>
      </c>
      <c r="G58" s="12" t="b">
        <v>0</v>
      </c>
      <c r="H58" s="13"/>
      <c r="I58" s="14"/>
      <c r="J58" s="15" t="str">
        <f>IF(G58=TRUE,"",B58&amp;"#"&amp;COUNTIFS($B$13:B58,B58,$G$13:G58,FALSE))</f>
        <v>TV1#7</v>
      </c>
    </row>
    <row r="59" spans="1:10" ht="26.4" x14ac:dyDescent="0.3">
      <c r="A59" s="9">
        <v>5</v>
      </c>
      <c r="B59" s="16" t="s">
        <v>8</v>
      </c>
      <c r="C59" s="9" t="s">
        <v>154</v>
      </c>
      <c r="D59" s="11" t="s">
        <v>155</v>
      </c>
      <c r="E59" s="11" t="s">
        <v>50</v>
      </c>
      <c r="F59" s="11" t="s">
        <v>156</v>
      </c>
      <c r="G59" s="12" t="b">
        <v>0</v>
      </c>
      <c r="H59" s="13"/>
      <c r="I59" s="14"/>
      <c r="J59" s="15" t="str">
        <f>IF(G59=TRUE,"",B59&amp;"#"&amp;COUNTIFS($B$13:B59,B59,$G$13:G59,FALSE))</f>
        <v>TV2#10</v>
      </c>
    </row>
    <row r="60" spans="1:10" ht="26.4" x14ac:dyDescent="0.3">
      <c r="A60" s="9">
        <v>5</v>
      </c>
      <c r="B60" s="16" t="s">
        <v>8</v>
      </c>
      <c r="C60" s="9" t="s">
        <v>157</v>
      </c>
      <c r="D60" s="11" t="s">
        <v>158</v>
      </c>
      <c r="E60" s="11" t="s">
        <v>159</v>
      </c>
      <c r="F60" s="11" t="s">
        <v>160</v>
      </c>
      <c r="G60" s="12" t="b">
        <v>0</v>
      </c>
      <c r="H60" s="13"/>
      <c r="I60" s="14"/>
      <c r="J60" s="15" t="str">
        <f>IF(G60=TRUE,"",B60&amp;"#"&amp;COUNTIFS($B$13:B60,B60,$G$13:G60,FALSE))</f>
        <v>TV2#11</v>
      </c>
    </row>
    <row r="61" spans="1:10" ht="26.4" x14ac:dyDescent="0.3">
      <c r="A61" s="9">
        <v>5</v>
      </c>
      <c r="B61" s="17" t="s">
        <v>9</v>
      </c>
      <c r="C61" s="9" t="s">
        <v>161</v>
      </c>
      <c r="D61" s="11" t="s">
        <v>162</v>
      </c>
      <c r="E61" s="11" t="s">
        <v>146</v>
      </c>
      <c r="F61" s="11" t="s">
        <v>163</v>
      </c>
      <c r="G61" s="12" t="b">
        <v>0</v>
      </c>
      <c r="H61" s="13"/>
      <c r="I61" s="14"/>
      <c r="J61" s="15" t="str">
        <f>IF(G61=TRUE,"",B61&amp;"#"&amp;COUNTIFS($B$13:B61,B61,$G$13:G61,FALSE))</f>
        <v>TV3#12</v>
      </c>
    </row>
    <row r="62" spans="1:10" ht="26.4" x14ac:dyDescent="0.3">
      <c r="A62" s="9">
        <v>5</v>
      </c>
      <c r="B62" s="17" t="s">
        <v>9</v>
      </c>
      <c r="C62" s="9" t="s">
        <v>164</v>
      </c>
      <c r="D62" s="11" t="s">
        <v>165</v>
      </c>
      <c r="E62" s="11" t="s">
        <v>24</v>
      </c>
      <c r="F62" s="11" t="s">
        <v>166</v>
      </c>
      <c r="G62" s="12" t="b">
        <v>0</v>
      </c>
      <c r="H62" s="13"/>
      <c r="I62" s="14"/>
      <c r="J62" s="15" t="str">
        <f>IF(G62=TRUE,"",B62&amp;"#"&amp;COUNTIFS($B$13:B62,B62,$G$13:G62,FALSE))</f>
        <v>TV3#13</v>
      </c>
    </row>
    <row r="63" spans="1:10" ht="26.4" x14ac:dyDescent="0.3">
      <c r="A63" s="9">
        <v>5</v>
      </c>
      <c r="B63" s="18" t="s">
        <v>10</v>
      </c>
      <c r="C63" s="9" t="s">
        <v>167</v>
      </c>
      <c r="D63" s="11" t="s">
        <v>168</v>
      </c>
      <c r="E63" s="11" t="s">
        <v>146</v>
      </c>
      <c r="F63" s="11" t="s">
        <v>169</v>
      </c>
      <c r="G63" s="12" t="b">
        <v>0</v>
      </c>
      <c r="H63" s="13"/>
      <c r="I63" s="14"/>
      <c r="J63" s="15" t="str">
        <f>IF(G63=TRUE,"",B63&amp;"#"&amp;COUNTIFS($B$13:B63,B63,$G$13:G63,FALSE))</f>
        <v>TV4#11</v>
      </c>
    </row>
    <row r="64" spans="1:10" x14ac:dyDescent="0.3">
      <c r="A64" s="9">
        <v>5</v>
      </c>
      <c r="B64" s="18" t="s">
        <v>10</v>
      </c>
      <c r="C64" s="9" t="s">
        <v>170</v>
      </c>
      <c r="D64" s="11" t="s">
        <v>171</v>
      </c>
      <c r="E64" s="11" t="s">
        <v>167</v>
      </c>
      <c r="F64" s="11" t="s">
        <v>172</v>
      </c>
      <c r="G64" s="12" t="b">
        <v>0</v>
      </c>
      <c r="H64" s="13"/>
      <c r="I64" s="14"/>
      <c r="J64" s="15" t="str">
        <f>IF(G64=TRUE,"",B64&amp;"#"&amp;COUNTIFS($B$13:B64,B64,$G$13:G64,FALSE))</f>
        <v>TV4#12</v>
      </c>
    </row>
    <row r="65" spans="1:10" ht="26.4" x14ac:dyDescent="0.3">
      <c r="A65" s="9">
        <v>5</v>
      </c>
      <c r="B65" s="19" t="s">
        <v>11</v>
      </c>
      <c r="C65" s="9" t="s">
        <v>173</v>
      </c>
      <c r="D65" s="20" t="s">
        <v>174</v>
      </c>
      <c r="E65" s="11" t="s">
        <v>24</v>
      </c>
      <c r="F65" s="11" t="s">
        <v>68</v>
      </c>
      <c r="G65" s="12" t="b">
        <v>0</v>
      </c>
      <c r="H65" s="13"/>
      <c r="I65" s="14"/>
      <c r="J65" s="15" t="str">
        <f>IF(G65=TRUE,"",B65&amp;"#"&amp;COUNTIFS($B$13:B65,B65,$G$13:G65,FALSE))</f>
        <v>Cả nhóm#4</v>
      </c>
    </row>
    <row r="66" spans="1:10" ht="26.4" x14ac:dyDescent="0.3">
      <c r="A66" s="9">
        <v>6</v>
      </c>
      <c r="B66" s="10" t="s">
        <v>7</v>
      </c>
      <c r="C66" s="9" t="s">
        <v>175</v>
      </c>
      <c r="D66" s="11" t="s">
        <v>176</v>
      </c>
      <c r="E66" s="11" t="s">
        <v>146</v>
      </c>
      <c r="F66" s="11" t="s">
        <v>177</v>
      </c>
      <c r="G66" s="12" t="b">
        <v>0</v>
      </c>
      <c r="H66" s="13"/>
      <c r="I66" s="14"/>
      <c r="J66" s="15" t="str">
        <f>IF(G66=TRUE,"",B66&amp;"#"&amp;COUNTIFS($B$13:B66,B66,$G$13:G66,FALSE))</f>
        <v>TV1#8</v>
      </c>
    </row>
    <row r="67" spans="1:10" ht="26.4" x14ac:dyDescent="0.3">
      <c r="A67" s="9">
        <v>6</v>
      </c>
      <c r="B67" s="16" t="s">
        <v>8</v>
      </c>
      <c r="C67" s="9" t="s">
        <v>178</v>
      </c>
      <c r="D67" s="11" t="s">
        <v>179</v>
      </c>
      <c r="E67" s="11" t="s">
        <v>71</v>
      </c>
      <c r="F67" s="11" t="s">
        <v>180</v>
      </c>
      <c r="G67" s="12" t="b">
        <v>0</v>
      </c>
      <c r="H67" s="13"/>
      <c r="I67" s="14"/>
      <c r="J67" s="15" t="str">
        <f>IF(G67=TRUE,"",B67&amp;"#"&amp;COUNTIFS($B$13:B67,B67,$G$13:G67,FALSE))</f>
        <v>TV2#12</v>
      </c>
    </row>
    <row r="68" spans="1:10" x14ac:dyDescent="0.3">
      <c r="A68" s="9">
        <v>6</v>
      </c>
      <c r="B68" s="16" t="s">
        <v>8</v>
      </c>
      <c r="C68" s="9" t="s">
        <v>181</v>
      </c>
      <c r="D68" s="11" t="s">
        <v>182</v>
      </c>
      <c r="E68" s="11" t="s">
        <v>41</v>
      </c>
      <c r="F68" s="11" t="s">
        <v>183</v>
      </c>
      <c r="G68" s="12" t="b">
        <v>0</v>
      </c>
      <c r="H68" s="13"/>
      <c r="I68" s="14"/>
      <c r="J68" s="15" t="str">
        <f>IF(G68=TRUE,"",B68&amp;"#"&amp;COUNTIFS($B$13:B68,B68,$G$13:G68,FALSE))</f>
        <v>TV2#13</v>
      </c>
    </row>
    <row r="69" spans="1:10" x14ac:dyDescent="0.3">
      <c r="A69" s="9">
        <v>6</v>
      </c>
      <c r="B69" s="17" t="s">
        <v>9</v>
      </c>
      <c r="C69" s="9" t="s">
        <v>184</v>
      </c>
      <c r="D69" s="11" t="s">
        <v>185</v>
      </c>
      <c r="E69" s="11" t="s">
        <v>146</v>
      </c>
      <c r="F69" s="11" t="s">
        <v>186</v>
      </c>
      <c r="G69" s="12" t="b">
        <v>0</v>
      </c>
      <c r="H69" s="13"/>
      <c r="I69" s="14"/>
      <c r="J69" s="15" t="str">
        <f>IF(G69=TRUE,"",B69&amp;"#"&amp;COUNTIFS($B$13:B69,B69,$G$13:G69,FALSE))</f>
        <v>TV3#14</v>
      </c>
    </row>
    <row r="70" spans="1:10" ht="26.4" x14ac:dyDescent="0.3">
      <c r="A70" s="9">
        <v>6</v>
      </c>
      <c r="B70" s="18" t="s">
        <v>10</v>
      </c>
      <c r="C70" s="9" t="s">
        <v>187</v>
      </c>
      <c r="D70" s="11" t="s">
        <v>188</v>
      </c>
      <c r="E70" s="11" t="s">
        <v>41</v>
      </c>
      <c r="F70" s="11" t="s">
        <v>189</v>
      </c>
      <c r="G70" s="12" t="b">
        <v>0</v>
      </c>
      <c r="H70" s="13"/>
      <c r="I70" s="14"/>
      <c r="J70" s="15" t="str">
        <f>IF(G70=TRUE,"",B70&amp;"#"&amp;COUNTIFS($B$13:B70,B70,$G$13:G70,FALSE))</f>
        <v>TV4#13</v>
      </c>
    </row>
    <row r="71" spans="1:10" x14ac:dyDescent="0.3">
      <c r="A71" s="9">
        <v>7</v>
      </c>
      <c r="B71" s="10" t="s">
        <v>7</v>
      </c>
      <c r="C71" s="9" t="s">
        <v>190</v>
      </c>
      <c r="D71" s="11" t="s">
        <v>191</v>
      </c>
      <c r="E71" s="11" t="s">
        <v>175</v>
      </c>
      <c r="F71" s="11" t="s">
        <v>192</v>
      </c>
      <c r="G71" s="12" t="b">
        <v>0</v>
      </c>
      <c r="H71" s="13"/>
      <c r="I71" s="14"/>
      <c r="J71" s="15" t="str">
        <f>IF(G71=TRUE,"",B71&amp;"#"&amp;COUNTIFS($B$13:B71,B71,$G$13:G71,FALSE))</f>
        <v>TV1#9</v>
      </c>
    </row>
    <row r="72" spans="1:10" ht="26.4" x14ac:dyDescent="0.3">
      <c r="A72" s="9">
        <v>7</v>
      </c>
      <c r="B72" s="16" t="s">
        <v>8</v>
      </c>
      <c r="C72" s="9" t="s">
        <v>193</v>
      </c>
      <c r="D72" s="11" t="s">
        <v>194</v>
      </c>
      <c r="E72" s="11" t="s">
        <v>175</v>
      </c>
      <c r="F72" s="11" t="s">
        <v>195</v>
      </c>
      <c r="G72" s="12" t="b">
        <v>0</v>
      </c>
      <c r="H72" s="13"/>
      <c r="I72" s="14"/>
      <c r="J72" s="15" t="str">
        <f>IF(G72=TRUE,"",B72&amp;"#"&amp;COUNTIFS($B$13:B72,B72,$G$13:G72,FALSE))</f>
        <v>TV2#14</v>
      </c>
    </row>
    <row r="73" spans="1:10" ht="26.4" x14ac:dyDescent="0.3">
      <c r="A73" s="9">
        <v>7</v>
      </c>
      <c r="B73" s="17" t="s">
        <v>9</v>
      </c>
      <c r="C73" s="9" t="s">
        <v>196</v>
      </c>
      <c r="D73" s="11" t="s">
        <v>197</v>
      </c>
      <c r="E73" s="11" t="s">
        <v>24</v>
      </c>
      <c r="F73" s="11" t="s">
        <v>198</v>
      </c>
      <c r="G73" s="12" t="b">
        <v>0</v>
      </c>
      <c r="H73" s="13"/>
      <c r="I73" s="14"/>
      <c r="J73" s="15" t="str">
        <f>IF(G73=TRUE,"",B73&amp;"#"&amp;COUNTIFS($B$13:B73,B73,$G$13:G73,FALSE))</f>
        <v>TV3#15</v>
      </c>
    </row>
    <row r="74" spans="1:10" x14ac:dyDescent="0.3">
      <c r="A74" s="9">
        <v>7</v>
      </c>
      <c r="B74" s="17" t="s">
        <v>9</v>
      </c>
      <c r="C74" s="9" t="s">
        <v>199</v>
      </c>
      <c r="D74" s="11" t="s">
        <v>200</v>
      </c>
      <c r="E74" s="11" t="s">
        <v>146</v>
      </c>
      <c r="F74" s="11" t="s">
        <v>201</v>
      </c>
      <c r="G74" s="12" t="b">
        <v>0</v>
      </c>
      <c r="H74" s="13"/>
      <c r="I74" s="14"/>
      <c r="J74" s="15" t="str">
        <f>IF(G74=TRUE,"",B74&amp;"#"&amp;COUNTIFS($B$13:B74,B74,$G$13:G74,FALSE))</f>
        <v>TV3#16</v>
      </c>
    </row>
    <row r="75" spans="1:10" x14ac:dyDescent="0.3">
      <c r="A75" s="9">
        <v>7</v>
      </c>
      <c r="B75" s="18" t="s">
        <v>10</v>
      </c>
      <c r="C75" s="9" t="s">
        <v>202</v>
      </c>
      <c r="D75" s="11" t="s">
        <v>203</v>
      </c>
      <c r="E75" s="11" t="s">
        <v>24</v>
      </c>
      <c r="F75" s="11" t="s">
        <v>204</v>
      </c>
      <c r="G75" s="12" t="b">
        <v>0</v>
      </c>
      <c r="H75" s="13"/>
      <c r="I75" s="14"/>
      <c r="J75" s="15" t="str">
        <f>IF(G75=TRUE,"",B75&amp;"#"&amp;COUNTIFS($B$13:B75,B75,$G$13:G75,FALSE))</f>
        <v>TV4#14</v>
      </c>
    </row>
    <row r="76" spans="1:10" ht="26.4" x14ac:dyDescent="0.3">
      <c r="A76" s="9">
        <v>7</v>
      </c>
      <c r="B76" s="19" t="s">
        <v>11</v>
      </c>
      <c r="C76" s="9" t="s">
        <v>205</v>
      </c>
      <c r="D76" s="20" t="s">
        <v>206</v>
      </c>
      <c r="E76" s="11" t="s">
        <v>24</v>
      </c>
      <c r="F76" s="11" t="s">
        <v>68</v>
      </c>
      <c r="G76" s="12" t="b">
        <v>0</v>
      </c>
      <c r="H76" s="13"/>
      <c r="I76" s="14"/>
      <c r="J76" s="15" t="str">
        <f>IF(G76=TRUE,"",B76&amp;"#"&amp;COUNTIFS($B$13:B76,B76,$G$13:G76,FALSE))</f>
        <v>Cả nhóm#5</v>
      </c>
    </row>
    <row r="77" spans="1:10" x14ac:dyDescent="0.3">
      <c r="A77" s="9">
        <v>8</v>
      </c>
      <c r="B77" s="10" t="s">
        <v>7</v>
      </c>
      <c r="C77" s="9" t="s">
        <v>207</v>
      </c>
      <c r="D77" s="11" t="s">
        <v>208</v>
      </c>
      <c r="E77" s="11" t="s">
        <v>209</v>
      </c>
      <c r="F77" s="11" t="s">
        <v>210</v>
      </c>
      <c r="G77" s="12" t="b">
        <v>0</v>
      </c>
      <c r="H77" s="13"/>
      <c r="I77" s="14"/>
      <c r="J77" s="15" t="str">
        <f>IF(G77=TRUE,"",B77&amp;"#"&amp;COUNTIFS($B$13:B77,B77,$G$13:G77,FALSE))</f>
        <v>TV1#10</v>
      </c>
    </row>
    <row r="78" spans="1:10" x14ac:dyDescent="0.3">
      <c r="A78" s="9">
        <v>8</v>
      </c>
      <c r="B78" s="16" t="s">
        <v>8</v>
      </c>
      <c r="C78" s="9" t="s">
        <v>211</v>
      </c>
      <c r="D78" s="11" t="s">
        <v>212</v>
      </c>
      <c r="E78" s="11" t="s">
        <v>24</v>
      </c>
      <c r="F78" s="11" t="s">
        <v>213</v>
      </c>
      <c r="G78" s="12" t="b">
        <v>0</v>
      </c>
      <c r="H78" s="13"/>
      <c r="I78" s="14"/>
      <c r="J78" s="15" t="str">
        <f>IF(G78=TRUE,"",B78&amp;"#"&amp;COUNTIFS($B$13:B78,B78,$G$13:G78,FALSE))</f>
        <v>TV2#15</v>
      </c>
    </row>
    <row r="79" spans="1:10" x14ac:dyDescent="0.3">
      <c r="A79" s="9">
        <v>8</v>
      </c>
      <c r="B79" s="17" t="s">
        <v>9</v>
      </c>
      <c r="C79" s="9" t="s">
        <v>214</v>
      </c>
      <c r="D79" s="11" t="s">
        <v>212</v>
      </c>
      <c r="E79" s="11" t="s">
        <v>24</v>
      </c>
      <c r="F79" s="11" t="s">
        <v>213</v>
      </c>
      <c r="G79" s="12" t="b">
        <v>0</v>
      </c>
      <c r="H79" s="13"/>
      <c r="I79" s="14"/>
      <c r="J79" s="15" t="str">
        <f>IF(G79=TRUE,"",B79&amp;"#"&amp;COUNTIFS($B$13:B79,B79,$G$13:G79,FALSE))</f>
        <v>TV3#17</v>
      </c>
    </row>
    <row r="80" spans="1:10" x14ac:dyDescent="0.3">
      <c r="A80" s="9">
        <v>8</v>
      </c>
      <c r="B80" s="18" t="s">
        <v>10</v>
      </c>
      <c r="C80" s="9" t="s">
        <v>215</v>
      </c>
      <c r="D80" s="11" t="s">
        <v>212</v>
      </c>
      <c r="E80" s="11" t="s">
        <v>24</v>
      </c>
      <c r="F80" s="11" t="s">
        <v>213</v>
      </c>
      <c r="G80" s="12" t="b">
        <v>0</v>
      </c>
      <c r="H80" s="13"/>
      <c r="I80" s="14"/>
      <c r="J80" s="15" t="str">
        <f>IF(G80=TRUE,"",B80&amp;"#"&amp;COUNTIFS($B$13:B80,B80,$G$13:G80,FALSE))</f>
        <v>TV4#15</v>
      </c>
    </row>
    <row r="81" spans="1:10" ht="26.4" x14ac:dyDescent="0.3">
      <c r="A81" s="9">
        <v>8</v>
      </c>
      <c r="B81" s="19" t="s">
        <v>11</v>
      </c>
      <c r="C81" s="9" t="s">
        <v>216</v>
      </c>
      <c r="D81" s="20" t="s">
        <v>217</v>
      </c>
      <c r="E81" s="11" t="s">
        <v>24</v>
      </c>
      <c r="F81" s="11" t="s">
        <v>68</v>
      </c>
      <c r="G81" s="12" t="b">
        <v>0</v>
      </c>
      <c r="H81" s="13"/>
      <c r="I81" s="14"/>
      <c r="J81" s="15" t="str">
        <f>IF(G81=TRUE,"",B81&amp;"#"&amp;COUNTIFS($B$13:B81,B81,$G$13:G81,FALSE))</f>
        <v>Cả nhóm#6</v>
      </c>
    </row>
  </sheetData>
  <autoFilter ref="A12:I81" xr:uid="{00000000-0009-0000-0000-000000000000}"/>
  <mergeCells count="14">
    <mergeCell ref="A2:I2"/>
    <mergeCell ref="A7:B7"/>
    <mergeCell ref="F9:I9"/>
    <mergeCell ref="F7:I7"/>
    <mergeCell ref="F8:I8"/>
    <mergeCell ref="A10:I10"/>
    <mergeCell ref="F4:I4"/>
    <mergeCell ref="A9:B9"/>
    <mergeCell ref="A5:B5"/>
    <mergeCell ref="F5:I5"/>
    <mergeCell ref="A8:B8"/>
    <mergeCell ref="A6:B6"/>
    <mergeCell ref="F6:I6"/>
    <mergeCell ref="A4:B4"/>
  </mergeCells>
  <conditionalFormatting sqref="A13:F81">
    <cfRule type="expression" dxfId="1" priority="3">
      <formula>RIGHT($J13,2)="#1"</formula>
    </cfRule>
  </conditionalFormatting>
  <conditionalFormatting sqref="A13:I81">
    <cfRule type="expression" dxfId="0" priority="2" stopIfTrue="1">
      <formula>$G13=TRUE</formula>
    </cfRule>
  </conditionalFormatting>
  <conditionalFormatting sqref="D5:D9">
    <cfRule type="dataBar" priority="1">
      <dataBar>
        <cfvo type="num" val="0"/>
        <cfvo type="num" val="1"/>
        <color rgb="FF1E8E4E"/>
      </dataBar>
    </cfRule>
  </conditionalFormatting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Việt Hoàng</cp:lastModifiedBy>
  <dcterms:created xsi:type="dcterms:W3CDTF">2026-09-27T08:30:10Z</dcterms:created>
  <dcterms:modified xsi:type="dcterms:W3CDTF">2026-10-03T17:29:54Z</dcterms:modified>
</cp:coreProperties>
</file>